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lmavivaitaliaspa.sharepoint.com/sites/DigitalHealth-Repository/Documenti condivisi/PAL/NORD-EST/Veneto/Azienda Zero/SiTer - Territoriale - 22W-ST0014.0001/04 - Doc di progetto/Deliverables/Export storico/Disciplinari/"/>
    </mc:Choice>
  </mc:AlternateContent>
  <xr:revisionPtr revIDLastSave="0" documentId="11_0CF1F91A1E2201D344B6C4205DC1A31F934FA4D3" xr6:coauthVersionLast="47" xr6:coauthVersionMax="47" xr10:uidLastSave="{00000000-0000-0000-0000-000000000000}"/>
  <bookViews>
    <workbookView xWindow="2085" yWindow="2100" windowWidth="42285" windowHeight="16560" tabRatio="888" activeTab="1" xr2:uid="{00000000-000D-0000-FFFF-FFFF00000000}"/>
  </bookViews>
  <sheets>
    <sheet name="Intestazione_SIOC" sheetId="11" r:id="rId1"/>
    <sheet name="Tracciato_SIOC definitivo" sheetId="16" r:id="rId2"/>
    <sheet name="Indicazioni operative" sheetId="13" r:id="rId3"/>
  </sheets>
  <definedNames>
    <definedName name="_xlnm.Print_Area" localSheetId="2">'Indicazioni operative'!$A$1:$C$24</definedName>
    <definedName name="_xlnm.Print_Area" localSheetId="0">Intestazione_SIOC!$A$1:$J$42</definedName>
    <definedName name="_xlnm.Print_Area" localSheetId="1">'Tracciato_SIOC definitivo'!$A$1:$H$156</definedName>
    <definedName name="_xlnm.Print_Titles" localSheetId="1">'Tracciato_SIOC definitivo'!$1:$5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1" i="16" l="1"/>
  <c r="E122" i="16"/>
  <c r="E123" i="16"/>
  <c r="E124" i="16"/>
  <c r="E125" i="16"/>
  <c r="E126" i="16"/>
  <c r="E127" i="16"/>
  <c r="E128" i="16"/>
  <c r="E129" i="16"/>
  <c r="E130" i="16"/>
  <c r="E131" i="16"/>
  <c r="E132" i="16"/>
  <c r="E133" i="16"/>
  <c r="E134" i="16"/>
  <c r="E135" i="16"/>
  <c r="E136" i="16"/>
  <c r="E137" i="16"/>
  <c r="E138" i="16"/>
  <c r="E139" i="16"/>
  <c r="E30" i="16"/>
  <c r="E31" i="16"/>
  <c r="E32" i="16"/>
  <c r="E33" i="16"/>
  <c r="E34" i="16"/>
  <c r="E35" i="16"/>
  <c r="E36" i="16"/>
  <c r="E37" i="16"/>
  <c r="E38" i="16" s="1"/>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9" i="16"/>
  <c r="E10" i="16"/>
  <c r="E11" i="16"/>
  <c r="E12" i="16"/>
  <c r="E13" i="16"/>
  <c r="E14" i="16"/>
  <c r="E15" i="16"/>
  <c r="E16" i="16"/>
  <c r="E144" i="16"/>
  <c r="E145" i="16"/>
  <c r="E146" i="16"/>
  <c r="E147" i="16"/>
  <c r="E148" i="16"/>
  <c r="E149" i="16"/>
  <c r="E150" i="16"/>
  <c r="E151" i="16"/>
  <c r="E152" i="16"/>
  <c r="E153"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s="1"/>
  <c r="E116" i="16" s="1"/>
  <c r="E117" i="16" s="1"/>
  <c r="E17" i="16"/>
  <c r="E18" i="16"/>
  <c r="E19" i="16"/>
  <c r="E20" i="16"/>
  <c r="E21" i="16"/>
  <c r="E22" i="16"/>
  <c r="E23" i="16"/>
  <c r="E24" i="16"/>
  <c r="E25" i="16"/>
</calcChain>
</file>

<file path=xl/sharedStrings.xml><?xml version="1.0" encoding="utf-8"?>
<sst xmlns="http://schemas.openxmlformats.org/spreadsheetml/2006/main" count="730" uniqueCount="401">
  <si>
    <t>Tracciato Sistema informativo per il monitoraggio 
delle attività erogate dagli ospedali di comunità - SIOC 
Regione del Veneto</t>
  </si>
  <si>
    <t>N</t>
  </si>
  <si>
    <t xml:space="preserve">Chiave </t>
  </si>
  <si>
    <t>Descrizione Campo</t>
  </si>
  <si>
    <t>LUNGH.</t>
  </si>
  <si>
    <t>POS. INIZ.</t>
  </si>
  <si>
    <t>TIPO</t>
  </si>
  <si>
    <t>OBB</t>
  </si>
  <si>
    <t>Istruzioni per la codifica</t>
  </si>
  <si>
    <t>1. TRACCIATO DATI ANAGRAFICI ASSISTITO</t>
  </si>
  <si>
    <t>1.1</t>
  </si>
  <si>
    <t>X</t>
  </si>
  <si>
    <t>Numero della scheda di ricovero
(ex Identificativo univoco assistito per episodio di accoglimento)</t>
  </si>
  <si>
    <t>AN</t>
  </si>
  <si>
    <t>Le prime 2 cifre identificano l'anno di ingresso, le altre 6 corrispondono alla numerazione progressiva di ricovero all'interno dell'anno. Il codice da utilizzare è articolato in: 
1) la parte numerazione (ultime 6 cifre) deve essere numerica e ≠ 0; 
2) le prime 2 cifre devono essere uguali all’anno di ricovero 
Il numero deve essere univoco per la struttura erogatrice e non deve mai ripetersi nel corso dell’anno
Tali istruzioni di codifica si applicano a partire dai ricoveri in ODC dell'anno 2026. I ricoveri con data inzio nel 2025, che si concluderanno nell'anno 2026, mantengono l'ID già assegnato in fase di ricovero (ex campo "Identificativo univoco assistito per episodio di accoglimento" come da All. B DDR n.1 del 10/10/2016).</t>
  </si>
  <si>
    <t>1.2</t>
  </si>
  <si>
    <t>Codice fiscale o altro codice identificativo utente</t>
  </si>
  <si>
    <t>Il campo va valorizzato con il Codice Fiscale per tutte le schede riferite a cittadini italiani. 
Per i cittadini stranieri, qualora non in possesso del Codice Fiscale, vanno indicati in alternativa tra loro il codice TEAM (Tessera europea assicurazione malattia) , o il codice ENI  (Europei non iscritti), o il codice STP (Straniero temporaneamente presente).
Per le prestazioni coperte da riservatezza ai sensi di legge il campo deve essere compilato con il carattere "A" ripetuto 20 volte.</t>
  </si>
  <si>
    <t>1.3</t>
  </si>
  <si>
    <t>Tipo identificativo utente</t>
  </si>
  <si>
    <r>
      <t>Indica il tipo dell’identificativo del beneficiario della prestazione. I  valori da indicare sono:
01. Codice fiscale
02. Codice ENI 
03. Codice STP 
04. Codice ID utente della Tessera Europea d’Assicurazione Malattia (TEAM) 
05. Altro identificativo 
09. Identificativo non disponibile 
97. codice STP non presente in anagrafica</t>
    </r>
    <r>
      <rPr>
        <b/>
        <sz val="9"/>
        <rFont val="Calibri"/>
        <family val="2"/>
      </rPr>
      <t xml:space="preserve">
</t>
    </r>
    <r>
      <rPr>
        <sz val="9"/>
        <rFont val="Calibri"/>
        <family val="2"/>
      </rPr>
      <t>98. Assistito richiedente l’anonimato</t>
    </r>
    <r>
      <rPr>
        <b/>
        <sz val="9"/>
        <rFont val="Calibri"/>
        <family val="2"/>
      </rPr>
      <t xml:space="preserve"> </t>
    </r>
  </si>
  <si>
    <t>1.4</t>
  </si>
  <si>
    <t>Codice istituzione pagatrice TEAM (tessera europea)</t>
  </si>
  <si>
    <t>NBB</t>
  </si>
  <si>
    <t>Indica il codice di identificazione assegnato a livello nazionale alla istituzione di assicurazione o di residenza competente ai sensi degli allegati 2 e 3 al regolamento 574/72. Come previsto nella Tessera Europea di Assicurazione Malattia  (Il numero di istituzione pagatrice  è riportato sotto quello di identificazione personale.)
Da compilare se "Tipo identificativo utente" = 4
Non compilare nei casi coperti da riservatezza ai sensi di legge</t>
  </si>
  <si>
    <t>1.5</t>
  </si>
  <si>
    <t>MPI</t>
  </si>
  <si>
    <t>FAC</t>
  </si>
  <si>
    <t>Master Patient Index (Id regionale della posizione anagrafica). 
Chiave di identificazione univoca con cui la posizione anagrafica è stata censita in ambiente regionale (Anagrafe Unica). Disponibile per i residenti e assititi in Regione Veneto, come servizio erogato dalla anagrafe unica regionale.
Non compilare nei casi coperti da riservatezza ai sensi di legge</t>
  </si>
  <si>
    <t>1.6</t>
  </si>
  <si>
    <t>Codice sanitario</t>
  </si>
  <si>
    <t>Il campo va valorizzato, in combinazione con il codice fiscale, per i soli residenti in Veneto. 
Non compilare nei casi coperti da riservatezza ai sensi di legge</t>
  </si>
  <si>
    <t>1.7</t>
  </si>
  <si>
    <t>Cognome</t>
  </si>
  <si>
    <t>Campo da valorizzare, in lettere maiuscole.
Nei casi coperti da riservatezza ai sensi di legge dovrà essere posta la dicitura ANONIMO.</t>
  </si>
  <si>
    <t>1.8</t>
  </si>
  <si>
    <t>Nome</t>
  </si>
  <si>
    <t>1.9</t>
  </si>
  <si>
    <t>Data di nascita</t>
  </si>
  <si>
    <t>Data</t>
  </si>
  <si>
    <t>Utilizzare il formato GGMMAAAA.
Non valorizzare nei casi in cui è previsto il mantenimento dell’anonimato.</t>
  </si>
  <si>
    <t>1.10</t>
  </si>
  <si>
    <t>Genere</t>
  </si>
  <si>
    <t>Utilizzare i codici seguenti: 1 – maschio, 2 – femmina, 3 - non specificato</t>
  </si>
  <si>
    <t>1.11</t>
  </si>
  <si>
    <t>Cittadinanza</t>
  </si>
  <si>
    <r>
      <t xml:space="preserve">Identifica la cittadinanza dell’assistito al momento dell'ammissione. Per i cittadini italiani codificare con 100. Per gli altri cittadini stranieri utilizzare  il codice stati esteri definito dal Ministero dell’Interno per l’anagrafe della popolazione. Per gli apolidi codificare 999. 
</t>
    </r>
    <r>
      <rPr>
        <b/>
        <sz val="9"/>
        <rFont val="Calibri"/>
        <family val="2"/>
      </rPr>
      <t>In caso di cittadinanza sconosciuta indicare 998.</t>
    </r>
  </si>
  <si>
    <t>1.12</t>
  </si>
  <si>
    <t xml:space="preserve">Titolo di studio </t>
  </si>
  <si>
    <t>Titolo di studio conseguito dall’utente al momento dell’ammissione.
Valori ammessi:
1 . Nessun titolo (meno di 5 anni di studio) 
2. Licenza elementare (5 anni di studio) 
3. Diploma di scuola media inferiore (8 anni di studio) 
4. Diploma di scuola media superiore (Qualifica professionale / Maturità) (13 anni di studio) 
5. Diploma universitario o laurea breve 
6. Laurea o superiore (17 o più anni di studio)
7. scuola professionale
9. sconosciuto</t>
  </si>
  <si>
    <t>1.13</t>
  </si>
  <si>
    <t>Regione di Residenza</t>
  </si>
  <si>
    <t>Indica la Regione di residenza dell'assistito .
Per la codifica utilizzare il Codice Regioni di 3 caratteri definito con DM 17 settembre 1986, pubblicato nella Gazzetta Ufficiale n. 240 del 15 ottobre 1986, e successive modifiche. Se Stato estero valorizzare con 999.</t>
  </si>
  <si>
    <t>1.14</t>
  </si>
  <si>
    <t>Azienda ULSS di Residenza</t>
  </si>
  <si>
    <t>Indica l'Azienda ULSS di residenza dell'assistito al momento dell'ingresso in struttura.
Se stato estero valorizzare con 999.</t>
  </si>
  <si>
    <t>1.15</t>
  </si>
  <si>
    <t>Comune/Stato estero  di  Residenza</t>
  </si>
  <si>
    <r>
      <t xml:space="preserve">Indica il comune italiano, oppure eventualmente lo stato estero, presso il quale il paziente risulta legalmente residente alla ammissione.
Codici ISTAT (primi 3 caratteri per la provincia e i rimanenti 3 caratteri per il progressivo comune). 
Si raccomanda di non omettere la rilevazione dello “0” costituente il primo carattere del codice provincia. Per i residenti all’estero codificare 999 i primi 3 caratteri ed il codice stato estero nei successivi 3, utilizzando il codice stati esteri definito dal Ministero dell’Interno per l’anagrafe della popolazione.
</t>
    </r>
    <r>
      <rPr>
        <b/>
        <sz val="9"/>
        <rFont val="Calibri"/>
        <family val="2"/>
      </rPr>
      <t>Se senza fissa dimora indicare 999999 sul Comune di residenza.</t>
    </r>
  </si>
  <si>
    <t>1.16</t>
  </si>
  <si>
    <t>Stato civile</t>
  </si>
  <si>
    <t>Stato civile del paziente al momento del ricovero. 
Valori ammessi
01. Celibe/nubile
02. Coniugato/a
03. Separato/a
04. Divorziato/a
05. Vedovo/a
06. Unito/a civilmente
07. Già in unione civile (in decesso del partner)
08. Già in unione civile (per scioglimento unione)
09. Non rilevato (non è stata posta la domanda al paziente)
99. Dato mancante (è stata posta la domanda al paziente e non ha risposto)</t>
  </si>
  <si>
    <t>1.17</t>
  </si>
  <si>
    <t>Codice Azienda</t>
  </si>
  <si>
    <t>CAMPO CHIAVE
Il campo deve essere valorizzato con i codici a SEI caratteri della azienda sanitaria in cui è ubicata la struttura OdC (050501,…).</t>
  </si>
  <si>
    <t>1.18</t>
  </si>
  <si>
    <t>Codice Struttura</t>
  </si>
  <si>
    <t>CAMPO CHIAVE
I codici da utilizzare sono quelli indicati nei modelli ministeriali STS11</t>
  </si>
  <si>
    <t>2. TRACCIATO  ADT</t>
  </si>
  <si>
    <t>2.1</t>
  </si>
  <si>
    <t>2.2</t>
  </si>
  <si>
    <t>Provenienza del Paziente</t>
  </si>
  <si>
    <r>
      <t>Indica la struttura o il luogo di provenienza dell’assistito. I valori ammessi sono:
01. Domicilio dell’assistito con ADI (o SAD)
02. Domicilio dell'assistito senza ADI (o SAD)
03. Struttura socio-sanitaria residenziale extraospedaliera
04. Struttura sociale (es. Casa albergo per anziani)
05. Struttura ospedaliera pubblica
06. Altra struttura di cure intermedie (</t>
    </r>
    <r>
      <rPr>
        <sz val="9"/>
        <rFont val="Calibri"/>
        <family val="2"/>
      </rPr>
      <t>URT</t>
    </r>
    <r>
      <rPr>
        <sz val="9"/>
        <rFont val="Calibri"/>
        <family val="2"/>
      </rPr>
      <t>)
07. Paziente COVID19 proveniente da ospedale
08. Paziente COVID19 proveniente da struttura socio-sanitaria residenziale extraospedaliera
09. Altro
10. Ospedale privato 
11. Hospice 
12. Altro ospedale di comunità 
13. Pronto Soccorso</t>
    </r>
  </si>
  <si>
    <t>2.3</t>
  </si>
  <si>
    <t>Tipologia di ricovero</t>
  </si>
  <si>
    <r>
      <t>Indica la tipologia di ricovero
1. Ospedale di Comunità</t>
    </r>
    <r>
      <rPr>
        <strike/>
        <sz val="9"/>
        <rFont val="Calibri"/>
        <family val="2"/>
      </rPr>
      <t/>
    </r>
  </si>
  <si>
    <t>2.4</t>
  </si>
  <si>
    <t>Data richiesta accoglimento</t>
  </si>
  <si>
    <t>Indicare la data di dichiarazione di eleggibilità al ricovero (inserimento in lista di attesa del paziente valutato ed eleggibile). Utilizzare il formato GGMMAAAA.</t>
  </si>
  <si>
    <t>2.5</t>
  </si>
  <si>
    <r>
      <t xml:space="preserve">Data di </t>
    </r>
    <r>
      <rPr>
        <b/>
        <sz val="9"/>
        <rFont val="Calibri"/>
        <family val="2"/>
      </rPr>
      <t>ricovero</t>
    </r>
  </si>
  <si>
    <t>Data del ricovero in struttura. La data deve essere minore o uguale alla “data di dimissione”. Utilizzare il formato GGMMAAAA.</t>
  </si>
  <si>
    <t>2.6</t>
  </si>
  <si>
    <r>
      <t xml:space="preserve">Data </t>
    </r>
    <r>
      <rPr>
        <b/>
        <sz val="9"/>
        <rFont val="Calibri"/>
        <family val="2"/>
      </rPr>
      <t>di dimissione o di decesso</t>
    </r>
  </si>
  <si>
    <t>Data della dimissione dalla struttura, o del decesso in struttura. Utilizzare il formato GGMMAAAA.</t>
  </si>
  <si>
    <t>2.7</t>
  </si>
  <si>
    <t>Modalità di dimissione</t>
  </si>
  <si>
    <r>
      <t xml:space="preserve">Individua lo stato del paziente al momento della dimissione, e l’eventuale continuazione del percorso assistenziale in altre strutture, codificato con i valori di dominio indicati nelle specifiche funzionali.
1. Domicilio dell’assistito con ADI (o SAD)
2. Domicilio dell'assistito senza ADI (o SAD)
3. Struttura socio-sanitaria residenziale extraospedaliera
4. Struttura sociale (es. Casa albergo per anziani)
5. Struttura ospedaliera
6. Altre strutture di Cure Intermedie  (ODC, URT, Hospice)
7. Dimissione volontaria
8. Decesso
9. </t>
    </r>
    <r>
      <rPr>
        <sz val="9"/>
        <rFont val="Calibri"/>
        <family val="2"/>
        <scheme val="minor"/>
      </rPr>
      <t>Dimissione protetta con attivazione rete cure palliative (Hospice, Cure Palliative Domiciliari ecc.)
0. Dimissione protetta al domicilio con attivazione altri servizi</t>
    </r>
  </si>
  <si>
    <t xml:space="preserve">  </t>
  </si>
  <si>
    <t>2.8</t>
  </si>
  <si>
    <t>Struttura erogatrice. Codice regionale dell'UDO</t>
  </si>
  <si>
    <t>Indica il codice regionale della struttura erogatrice.</t>
  </si>
  <si>
    <t>2.9</t>
  </si>
  <si>
    <t>Struttura erogatrice. Codice MRA</t>
  </si>
  <si>
    <t>Campo che verrà valorizzato con la codifica MRA non appena diponibile.</t>
  </si>
  <si>
    <t>2.10</t>
  </si>
  <si>
    <t>Azienda ULSS pagante</t>
  </si>
  <si>
    <t>Indica l'Azienda ULSS pagante la quota sanitaria giornaliera.
Il formato del campo è il seguente: le prime tre cifre rappresentano il codice regione, le seconde tre il numero di Azienda sanitaria.</t>
  </si>
  <si>
    <t>2.11</t>
  </si>
  <si>
    <t>Soggetto pagante la quota alberghiera</t>
  </si>
  <si>
    <r>
      <t xml:space="preserve">Il campo va compilato solo quando è prevista la compartecipazione, come definito dalla </t>
    </r>
    <r>
      <rPr>
        <b/>
        <sz val="9"/>
        <rFont val="Calibri"/>
        <family val="2"/>
      </rPr>
      <t>DGR 1563/2024</t>
    </r>
    <r>
      <rPr>
        <sz val="9"/>
        <rFont val="Calibri"/>
        <family val="2"/>
      </rPr>
      <t>.
I valori previsti sono:
1. Utente (in toto o con la compartecipazione della famiglia)
2. Utente (parzialmente, con la compartecipazione del Comune)
3. Comune (in toto)
4. Altro</t>
    </r>
  </si>
  <si>
    <t>2.12</t>
  </si>
  <si>
    <t>Emissione quote</t>
  </si>
  <si>
    <t>Il campo integra la DGR 2683/2014 per rilevare la presenza di utenti solventi in proprio, non a carico del Sistema sanitario regionale
I valori previsti sono:
1. Utente con quota totalmente a carico del SSR
2. Utente pagante in proprio</t>
  </si>
  <si>
    <t>2.13</t>
  </si>
  <si>
    <t>Problemi socio - familiari 1</t>
  </si>
  <si>
    <t>Segnalazione dei problemi di natura socio-familiare rilevati al momento del ricovero, codificato con i valori di dominio indicati nelle specifiche tecniche.
Valori ammessi:
00 = Nessun problema rilevato 
01 = In carico ai servizi sociali
02 = Problemi relazionali/comportamentali/psichiatrici
03 = Dipendenze
04 = Problemi di autonomia, disabilità fisica
05 = Problemi di carattere giudiziario
06 = Difficoltà economiche
07 = Difficoltà abitative
08 = Vive solo/a
09 = Assenza o inadeguatezza del caregiver
10 = Presenza amministratore di sostegno/tutore
99 = Dato mancante</t>
  </si>
  <si>
    <t>2.14</t>
  </si>
  <si>
    <t>Problemi socio - familiari 2</t>
  </si>
  <si>
    <r>
      <t xml:space="preserve">Valori ammessi: vedi campo </t>
    </r>
    <r>
      <rPr>
        <b/>
        <sz val="9"/>
        <rFont val="Calibri"/>
        <family val="2"/>
      </rPr>
      <t>2.13</t>
    </r>
  </si>
  <si>
    <t>2.15</t>
  </si>
  <si>
    <t>Problemi socio - familiari 3</t>
  </si>
  <si>
    <t>2.16</t>
  </si>
  <si>
    <t>Problemi socio - familiari 4</t>
  </si>
  <si>
    <t>2.17</t>
  </si>
  <si>
    <t>Problemi socio - familiari 5</t>
  </si>
  <si>
    <t>2.18</t>
  </si>
  <si>
    <t>Problemi socio - familiari 6</t>
  </si>
  <si>
    <t>2.19</t>
  </si>
  <si>
    <t>Problemi socio - familiari 7</t>
  </si>
  <si>
    <t>2.20</t>
  </si>
  <si>
    <t>Problemi socio - familiari 8</t>
  </si>
  <si>
    <t>2.21</t>
  </si>
  <si>
    <t>Problemi socio - familiari 9</t>
  </si>
  <si>
    <t>2.22</t>
  </si>
  <si>
    <t>Problemi socio - familiari 10</t>
  </si>
  <si>
    <t>2.23</t>
  </si>
  <si>
    <t>Soggetto proponente il ricovero</t>
  </si>
  <si>
    <t>Identifica il soggetto che ha richiesto il ricovero in struttura, codificato con i valori di dominio indicati nelle specifiche tecniche. 
Valori ammessi:
1 = medico di medicina generale;
2 = medico di continuità assistenziale;
3 = medico specialista ambulatoriale territoriale o ospedaliero; 
4 = medico del pronto soccorso;
5 = pediatra di libera scelta.</t>
  </si>
  <si>
    <t>2.24</t>
  </si>
  <si>
    <t>Soggetto segnalante al medico la possibilità di ricovero</t>
  </si>
  <si>
    <t>Indica se il caso sia stato segnalato al medico da un soggetto qualificato differente da quelli indicati nel campo "Soggetto proponente il ricovero". 
Valori ammessi:
1 = Infermiere
2 = Assistente Sociale
3 = Altra tipologia di medico non compresa nel campo "Soggetto proponente il ricovero"
4 = Caregiver
5 = Altro operatore dell’assistenza domiciliare 
9 = Altro</t>
  </si>
  <si>
    <t>2.25</t>
  </si>
  <si>
    <t>Indicare se il ricovero sia stato mediato attraverso le attività delle centrali operative territoriali (COT)</t>
  </si>
  <si>
    <t>Indica se, nel processo di valutazione dell'opportunità di ricoverare il paziente presso l'ospedale di comunità, abbia avuto un ruolo attivo una COT. Valori ammessi:
1 = SI
2 = NO</t>
  </si>
  <si>
    <t>2.26</t>
  </si>
  <si>
    <t>Codice COT</t>
  </si>
  <si>
    <t>Indica, qualora il ricovero sia stato mediato da una COT, la concatenazione del codice identificativo della Regione, della ASL e codice STS11.</t>
  </si>
  <si>
    <t>2.27</t>
  </si>
  <si>
    <t>Giornate di assenza temporanea</t>
  </si>
  <si>
    <t>Numero di giornate nelle quali il paziente, durante il ricovero, è temporaneamente assente. Se paziente assente per meno di 24 ore si considera 1 giorno di assenza.
Nel caso in cui l'assenza temporanea esiti in ricovero in altra struttura, il ricovero in ODC deve essere chiuso utilizando la modalità di dimissione più appropriata.</t>
  </si>
  <si>
    <t>2.28</t>
  </si>
  <si>
    <t>Motivo principale del ricovero</t>
  </si>
  <si>
    <t xml:space="preserve">Identifica il motivo principale che ha determinato la necessità del ricovero, codificato con i valori di dominio indicati nelle specifiche funzionali. 
Valori ammessi:
01 = Sorveglianza e assistenza infermieristica continuativa 
02 = Patologia cronica riacutizzata
03 = Monitoraggio clinico e stabilizzazione terapeutica
04 = Educazione/addestramento del paziente e del caregiver 
05 = Riattivazione funzionale
06 = Interventi riabilitativi/rieducativi/monodistretto o completamento di interventi estensivi
07 = Acuzie minori
08 = Isolamento per patologia infettiva 
99 = Altro
</t>
  </si>
  <si>
    <t>2.29</t>
  </si>
  <si>
    <t>Codice Regione struttura di provenienza</t>
  </si>
  <si>
    <t>Se valore campo "Provenienza del Paziente" è diverso da "01" o "02", indica il codice identificativo della Regione dove si trova la struttura di provenienza del paziente. Il codice da utilizzare è quello a tre caratteri definito con DM 17 settembre 1986, pubblicato nella Gazzetta Ufficiale n.240 del 15 ottobre 1986, e successive modifiche, utilizzato anche nei modelli per le rilevazioni delle attività gestionali ed economiche delle Aziende unità sanitarie locali. Utilizzare 999 se proveniente da strutture all’estero.</t>
  </si>
  <si>
    <t>2.30</t>
  </si>
  <si>
    <t>Codice ASL struttura di provenienza del paziente</t>
  </si>
  <si>
    <r>
      <t>Se valore campo "Codice Regione struttura di provenienza" è diverso da "999" e campo "Provenienza del Paziente" diverso da "01" o "02" e regione di provenienza del paziente "Codice Regione struttura di provenienza" coincide con la regione inviante, indica il codice identificativo dell'Azienda dove si trova la struttura di provenienza del paziente. 
Il campo deve essere valorizzato con i codici a tre caratteri dell'Azienda sanitaria in cui è ubicata la struttura</t>
    </r>
    <r>
      <rPr>
        <b/>
        <sz val="9"/>
        <rFont val="Calibri"/>
        <family val="2"/>
      </rPr>
      <t xml:space="preserve"> di provenienza del paziente</t>
    </r>
    <r>
      <rPr>
        <sz val="9"/>
        <rFont val="Calibri"/>
        <family val="2"/>
      </rPr>
      <t>.</t>
    </r>
  </si>
  <si>
    <t>2.31</t>
  </si>
  <si>
    <t>Codice struttura di provenienza del paziente</t>
  </si>
  <si>
    <t xml:space="preserve">Se valore campo "Codice Regione struttura di provenienza" è diverso da "999" e campo "Provenienza del Paziente" diverso da "01", "02", "04" o "09" e il campo "Codice Regione struttura di provenienza" coincide con la regione inviante, indica il codice identificativo della struttura di provenienza del paziente. 
I codici da utilizzare sono quelli indicati nei modelli ministeriali HSP11, RIA11, STS11. Inserire 999999 se dato mancante. </t>
  </si>
  <si>
    <t>2.32</t>
  </si>
  <si>
    <t xml:space="preserve">Codice diagnosi 1 </t>
  </si>
  <si>
    <t>Identifica le patologie di cui il paziente è affeto, o condizioni nelle quali si trova (fino a un massimo di 6) utilizzando la codifica ICD9CM. Compilare alla dimissione. 
Valori ammessi: ICD9-CM
- il codice prevede sotto-classificazioni o sottocategorie;
- se la patologia prevede un genere specifico, il sesso del paziente deve essere coerente con quello previsto per la diagnosi;
- se la patologia prevede un range di età di validità, l’età del paziente deve essere compresa in questo range;
- non è possibile indicare la stessa diagnosi più volte (con progressivi diversi).</t>
  </si>
  <si>
    <t>2.33</t>
  </si>
  <si>
    <t>Codice diagnosi 2</t>
  </si>
  <si>
    <t>Vedi campo precedente</t>
  </si>
  <si>
    <t>2.34</t>
  </si>
  <si>
    <t>Codice diagnosi 3</t>
  </si>
  <si>
    <t>2.35</t>
  </si>
  <si>
    <t>Codice diagnosi 4</t>
  </si>
  <si>
    <t>2.36</t>
  </si>
  <si>
    <t>Codice diagnosi 5</t>
  </si>
  <si>
    <t>2.37</t>
  </si>
  <si>
    <t>Codice diagnosi 6</t>
  </si>
  <si>
    <t>2.38</t>
  </si>
  <si>
    <t>Codice procedura 1</t>
  </si>
  <si>
    <t xml:space="preserve">Identifica gli interventi e le procedure effettuati/e durante il ricovero (fino ad un massimo di 11) utilizzando la codifica ICD9CM e successive modificazioni o integrazioni. Compilare alla dimissione. </t>
  </si>
  <si>
    <t>2.39</t>
  </si>
  <si>
    <t>Codice procedura 2</t>
  </si>
  <si>
    <t>2.40</t>
  </si>
  <si>
    <t>Codice procedura 3</t>
  </si>
  <si>
    <t>2.41</t>
  </si>
  <si>
    <t>Codice procedura 4</t>
  </si>
  <si>
    <t>2.42</t>
  </si>
  <si>
    <t>Codice procedura 5</t>
  </si>
  <si>
    <t>2.43</t>
  </si>
  <si>
    <t>Codice procedura 6</t>
  </si>
  <si>
    <t>2.44</t>
  </si>
  <si>
    <t>Codice procedura 7</t>
  </si>
  <si>
    <t>2.45</t>
  </si>
  <si>
    <t>Codice procedura 8</t>
  </si>
  <si>
    <t>2.46</t>
  </si>
  <si>
    <t>Codice procedura 9</t>
  </si>
  <si>
    <t>2.47</t>
  </si>
  <si>
    <t>Codice procedura 10</t>
  </si>
  <si>
    <t>2.48</t>
  </si>
  <si>
    <t>Codice procedura 11</t>
  </si>
  <si>
    <t>2.49</t>
  </si>
  <si>
    <t>CAMPO CHIAVE
Il campo deve essere valorizzato con i codici a SEI  caratteri della azienda sanitaria in cui è ubicata la struttura OdC (050501,…).</t>
  </si>
  <si>
    <t>2.50</t>
  </si>
  <si>
    <t>3. TRACCIATO  VALUTAZIONE</t>
  </si>
  <si>
    <t>3.1</t>
  </si>
  <si>
    <t>3.2</t>
  </si>
  <si>
    <t>Numero di valutazione</t>
  </si>
  <si>
    <t>Codice identificativo univoco assegnato alla valutazione sull'assistito ed inserito nell'archivio aziendale delle valutazioni.</t>
  </si>
  <si>
    <t>3.3</t>
  </si>
  <si>
    <t>Momento valutazione</t>
  </si>
  <si>
    <r>
      <t xml:space="preserve">I valori ammessi sono
1. </t>
    </r>
    <r>
      <rPr>
        <sz val="9"/>
        <rFont val="Calibri"/>
        <family val="2"/>
      </rPr>
      <t xml:space="preserve">Ricovero
2. </t>
    </r>
    <r>
      <rPr>
        <sz val="9"/>
        <rFont val="Calibri"/>
        <family val="2"/>
      </rPr>
      <t>Dimissione</t>
    </r>
  </si>
  <si>
    <t>3.4</t>
  </si>
  <si>
    <t>Data valutazione</t>
  </si>
  <si>
    <t>D</t>
  </si>
  <si>
    <t>Indica la data di valutazione. Utilizzare il formato GGMMAAAA.</t>
  </si>
  <si>
    <t>3.5</t>
  </si>
  <si>
    <t>SVAMA Patologia prevalente</t>
  </si>
  <si>
    <t>Vedi valore del codice ICPC, assegnato alla patologia prevalente, in scheda SVaMA aggiornata (DGR 96/2025, Allegato A). Per pazienti COVID utilizzare obbligatoriamente nella valutazione all'ingresso il codice ICPC: R83-Altre infezioni del sistema respiratorio</t>
  </si>
  <si>
    <t>3.6</t>
  </si>
  <si>
    <t>SVAMA Patologia concomitante</t>
  </si>
  <si>
    <t>Vedi valore del codice ICPC, assegnato alla patologia concomitante in scheda SVaMA aggiornata (DGR 96/2025, Allegato A).</t>
  </si>
  <si>
    <t>3.7</t>
  </si>
  <si>
    <t>SVAMA Patologia concomitante 2</t>
  </si>
  <si>
    <t>Vedi valore del codice ICPC, assegnato alla seconda patologia concomitante in scheda SVaMA aggiornata (DGR 96/2025, Allegato A).</t>
  </si>
  <si>
    <t>3.8</t>
  </si>
  <si>
    <t>SVAMA Barthel - alimentazione</t>
  </si>
  <si>
    <t xml:space="preserve">
I valori ai fini della definizione della situazione funzionale (Indice di Barthel) sono ricavati dalla SVaMA (DGR 96/2025, Allegato A). Sono omessi in caso di dimissione per decesso.
I valori ammessi per questo campo sono: 00, 02, 05, 08, 10. Tutti i valori dell'indice di Barthel sono conferiti secondo le regole di SVaMA. 
Se il paziente è deceduto (2.7='8'), compilare con 99. </t>
  </si>
  <si>
    <t>3.9</t>
  </si>
  <si>
    <t xml:space="preserve">SVAMA Barthel ADL - bagno/doccia </t>
  </si>
  <si>
    <t>I valori ammessi per questo campo sono: 0, 1, 2, 4, 5. 
Se il paziente è deceduto (2.7='8'), compilare con 9.</t>
  </si>
  <si>
    <t>3.10</t>
  </si>
  <si>
    <t>SVAMA Barthel ADL - igiene personale</t>
  </si>
  <si>
    <t>3.11</t>
  </si>
  <si>
    <t>SVAMA Barthel ADL - abbigliamento</t>
  </si>
  <si>
    <t>I valori ammessi per questo campo sono: 00, 02, 05, 08, 10. 
Se il paziente è deceduto (2.7='8'), compilare con 99.</t>
  </si>
  <si>
    <t>3.12</t>
  </si>
  <si>
    <t>SVAMA Barthel ADL - continenza intestinale</t>
  </si>
  <si>
    <t xml:space="preserve">I valori ammessi per questo campo sono: 00, 02, 05, 08, 10.
Se il paziente è deceduto (2.7='8'), compilare con 99. </t>
  </si>
  <si>
    <t>3.13</t>
  </si>
  <si>
    <t>SVAMA Barthel ADL - continenza urinaria</t>
  </si>
  <si>
    <t>3.14</t>
  </si>
  <si>
    <t>SVAMA Barthel ADL - uso del gabinetto</t>
  </si>
  <si>
    <t>3.15</t>
  </si>
  <si>
    <t>SVAMA Barthel MOB - letto/sedia/carrozzina</t>
  </si>
  <si>
    <t xml:space="preserve">I valori ammessi per questo campo sono: 00, 03, 07, 12, 15.
Se il paziente è deceduto (2.7='8'), compilare con 99. </t>
  </si>
  <si>
    <t>3.16</t>
  </si>
  <si>
    <t>SVAMA Barthel MOB - deambul./carrozzina</t>
  </si>
  <si>
    <t xml:space="preserve">I valori ammessi per questo campo sono: 00, 03, 07, 10, 11, 12, 14, 15.
Se il paziente è deceduto (2.7='8'), compilare con 99. </t>
  </si>
  <si>
    <t>3.17</t>
  </si>
  <si>
    <t>SVAMA Barthel MOB - uso carrozzina</t>
  </si>
  <si>
    <t>Indicare se è stata utilizzata la scala USO della carrozzina. I valori sono:
0. no
1. si</t>
  </si>
  <si>
    <t>3.18</t>
  </si>
  <si>
    <t>SVAMA Barthel MOB - scale</t>
  </si>
  <si>
    <t>3.19</t>
  </si>
  <si>
    <t>SVAMA Assistenza Infermieristica</t>
  </si>
  <si>
    <t>Condizioni che necessitano di prestazioni infermieristiche o specialistiche. Codificare alla dimissione solo se l'esito è diverso dal decesso.
Codificare in questo modo:"1" in caso di prestazione erogata nel periodo"; "0" in caso di prestazione assente nel periodo". La posizione del carattere si riferisce alla tipologia della prestazione (es. se presenti Cirrosi scompensata e PEG, la stringa sarà la seguente: 0010010000000000000) erogata nel periodo. 
(compilare tutti i valori da 17 fino a 20 con 0: al momento sono da gestire i primi 16)
Le posizioni sono le seguenti: 
1. Diabete insulinodipendente, 
2. Scompenso cardiaco in classe 3-4 NYHA con necessità di monitoraggio frequente del bilancio idrico (≥75 mg. Furosemide pro die), alimentare e parametri vitali (polso, pressione, frequenza cardiaca), 
3. Cirrosi scompensata e altre forme di ascite con necessità come sopra elencate, 
4. Tracheostomia, 
5. Ossigenoterapia continuativa a lungo termine (&gt;3 h al dì), 
6. Sondino naso-gastrico, gastrostomia (PEG), 
7. Catetere venoso centrale o nutrizione parenterale totale o terapia infusionale quotidiana, 
8. Catetere vescicale, 
9. Ano artificiale e/o ureterostomia, 
10. Nefrostomia o terapia peridurale a lungo termine o terapia antalgica con oppioidi che richiede adeguamento della posologia.
11. Ulcere da decubito (Ulcere distrofiche agli arti e/o altre lesione della cute chirurgiche, traumatiche, oncologiche), 
12. Respiratorie/Ventilazione Assistita, 
13. Dialisi o dialisi peritoneale
14. Presenza di dolore (neoplastico o non neoplastico)
15. Dipendenza da apparecchiature elettromedicali
16. Paziente neoplastico allettato
Le informazioni richieste sono presenti nella SVaMA, tabella valutazione sanitaria (DGR 96/2025, Allegato A).</t>
  </si>
  <si>
    <t>3.20</t>
  </si>
  <si>
    <t>SVAMA Assistenza Infermieristica (VIP)</t>
  </si>
  <si>
    <t xml:space="preserve">Indicatore relativo alla necessità di assistenza infermieristica. Punteggio VIP della scheda SVAMA (DGR 96/2025, Allegato A). Valori ammessi 00, 05, 10, 15 …, 80. 
Se il paziente è deceduto (2.7='8'), compilare con 99. </t>
  </si>
  <si>
    <t>3.21</t>
  </si>
  <si>
    <t>SVAMA Rischio decubiti (VPIA)</t>
  </si>
  <si>
    <t xml:space="preserve">Indicatore relativo al rischio decubiti. Punteggio VPIA della scheda SVAMA (DGR 96/2025, Allegato A). Il punteggio può essere attribuito anche direttamente con i seguenti valori:
00. Rischio non elevato di lesioni da decubito
10. Rischio elevato di lesioni da decubito (Usare indice di Exton Smith)
15. Presenza di una piaga
25. Presenza di due o più piaghe
Se il paziente è deceduto (2.7='8'), compilare con 99. </t>
  </si>
  <si>
    <t>3.22</t>
  </si>
  <si>
    <t>SVAMA Area Cognitiva (VCOG)</t>
  </si>
  <si>
    <t xml:space="preserve">Indica il livello di fragilità relativo all’area cognitiva e funzionale dell’assistito. Punteggio VCOG della scheda SVAMA (DGR 96/2025, Allegato A, Valutazione cognitiva e funzionale, esito del test SPMSQ). 
Se il paziente è deceduto (2.7='8'), compilare con 99. </t>
  </si>
  <si>
    <t>3.23</t>
  </si>
  <si>
    <t>SVAMA Supporto rete sociale (PSOC)</t>
  </si>
  <si>
    <t xml:space="preserve">Indica l’eventuale presenza del supporto delle reti formali ed informali (famiglia, privato, vicinato e volontariato). Punteggio PSOC della scheda SVAMA (DGR 96/2025, Allegato A).
I valori sono:
1. Ben assistito
2. Parzialmente assistito
3. Non sufficientemente assitito
Se il paziente è deceduto (2.7='8'), compilare con 9. </t>
  </si>
  <si>
    <t>3.24</t>
  </si>
  <si>
    <t xml:space="preserve">Punteggio Karnofsky </t>
  </si>
  <si>
    <t>Punteggio Karnofsky. Valori tra 00 a 90. Valore 00 (= morte) è consentito solo in caso di dimissione per decesso.</t>
  </si>
  <si>
    <t>3.25</t>
  </si>
  <si>
    <t>Traiettoria prognostica "Tp"</t>
  </si>
  <si>
    <t>Valori da compilare solo al ricovero [3.3=1]. I valori sono:
1. Pazienti con funzioni/abilità perse ma recuperabili, da riabilitare
2. Pazienti con alcune funzionalità/abilità perse, da stabilizzare
3. Pazienti con alcune funzionalità/abilità sicuramente perse, in cure palliative</t>
  </si>
  <si>
    <t>3.26</t>
  </si>
  <si>
    <t>Esiti funzionali alla dimissione "Ef"</t>
  </si>
  <si>
    <t>Valori da compilare solo alla dimissione [3.3=2]. I valori sono:
1. Funzioni recuperate
2. Funzioni stabilizzate
3. Funzioni peggiorate
4. Decesso</t>
  </si>
  <si>
    <t>3.27</t>
  </si>
  <si>
    <t>Numero di infezioni urinarie</t>
  </si>
  <si>
    <t>Valori da compilare solo alla dimissione [3.3=2]. Numero di infezioni urinarie verificate durante il ricovero. I valori da utilizzare sono compresi tra "0" e "99"</t>
  </si>
  <si>
    <t>3.28</t>
  </si>
  <si>
    <t>Numero di infezioni non urinarie</t>
  </si>
  <si>
    <t>Valori da compilare solo alla dimissione [3.3=2]. Numero di infezioni non urinarie verificate durante il ricovero. I valori da utilizzare sono compresi tra "0" e "99"</t>
  </si>
  <si>
    <t>3.29</t>
  </si>
  <si>
    <t>Numero di cadute lievi</t>
  </si>
  <si>
    <t xml:space="preserve">Valori da compilare solo alla dimissione [3.3=2]. Numero di cadute nell'intervallo di tempo, senza conseguenze o con  conseguenze minori o lievi, trattate in struttura. Il valore da utilizzare è compreso tra "0" e "99". </t>
  </si>
  <si>
    <t>3.30</t>
  </si>
  <si>
    <t>Numero di cadute moderate</t>
  </si>
  <si>
    <t>Valori da compilare solo alla dimissione [3.3=2]. Numero di cadute nell'intervallo di tempo, con conseguenze moderate  (accesso a PS o a prestazione diagnostica/specialistica, senza ricovero o frattura).  Il valore da utilizzare è compreso tra "0" e "99".</t>
  </si>
  <si>
    <t>3.31</t>
  </si>
  <si>
    <t>Numero di cadute gravi</t>
  </si>
  <si>
    <t>Valori da compilare solo alla dimissione [3.3=2]. Numero di cadute nell'intervallo di tempo, con conseguenze gravi (con ricovero o frattura). Il valore da utilizzare è compreso tra "0" e "99".</t>
  </si>
  <si>
    <t>3.32</t>
  </si>
  <si>
    <t>Contenzione</t>
  </si>
  <si>
    <t xml:space="preserve">Valori da compilare solo alla dimissione [3.3=2]. Presenza di contenzione. I codici da utilizzare sono:
1. Nessuna
2. Diurna
3. Notturna
4. Continua  </t>
  </si>
  <si>
    <t>3.33</t>
  </si>
  <si>
    <t>SVAMA Presenza disturbi del comportamento (PCOMP)</t>
  </si>
  <si>
    <t xml:space="preserve">Indica la presenza o meno di disturbi comportamentali.  Punteggio PCOMP della scheda SVAMA (DGR 96/2025, Allegato A, Profilo dell'autonomia). Valori ammessi:
1. Assente/Lieve
2. Moderato
3. Grave
9. Deceduto
Se il paziente è deceduto (2.7='8'), compilare con 9. </t>
  </si>
  <si>
    <t>3.34</t>
  </si>
  <si>
    <t>Valutazione ADL con scala di Barthel</t>
  </si>
  <si>
    <r>
      <t xml:space="preserve">Se (valore data di ricovero – anno di nascita) &gt;= 19, indica il punteggio individuale, secondo la scala “Indice di Barthel modificato”, misurato all’ingresso in struttura.
Il valore deve essere compreso fra 0 e 100. «Indice di Barthel modificato» in coerenza con quanto già rilevato in altri flussi NSIS (in particolare SDO-R).
</t>
    </r>
    <r>
      <rPr>
        <b/>
        <sz val="9"/>
        <color rgb="FFFF0000"/>
        <rFont val="Calibri"/>
        <family val="2"/>
      </rPr>
      <t>Da compilare nella valutazione all'ingresso e nella valutazione alla dimissione.</t>
    </r>
    <r>
      <rPr>
        <sz val="9"/>
        <rFont val="Calibri"/>
        <family val="2"/>
      </rPr>
      <t xml:space="preserve">
</t>
    </r>
    <r>
      <rPr>
        <b/>
        <sz val="9"/>
        <color rgb="FFFF0000"/>
        <rFont val="Calibri"/>
        <family val="2"/>
      </rPr>
      <t>Se nella valutazione alla dimissione il valore campo "2.7 Modalità di dimissione" = '8.Decesso', compilare con 999.</t>
    </r>
  </si>
  <si>
    <t>3.35</t>
  </si>
  <si>
    <t>CAMPO CHIAVE
Il campo deve essere valorizzato con i codici a sei caratteri della azienda sanitaria in cui è ubicata la struttura OdC (050501,…).</t>
  </si>
  <si>
    <t>3.36</t>
  </si>
  <si>
    <t>4.1 TRACCIATO  REGIONALE UDO</t>
  </si>
  <si>
    <t>4.1</t>
  </si>
  <si>
    <t>Indica il codice regionale provvisorio della struttura erogatrice.</t>
  </si>
  <si>
    <t>4.2</t>
  </si>
  <si>
    <t>Struttura erogatrice. Codice regionale MRA</t>
  </si>
  <si>
    <t>Codifica della struttura secondo il progetto MRA (in corso di definizione)</t>
  </si>
  <si>
    <t>4.3</t>
  </si>
  <si>
    <t>Tipologia di UDO</t>
  </si>
  <si>
    <r>
      <t xml:space="preserve">Indica la tipologia di UDO. I codici da utilizzare sono:
1. Ospedale di Comunità
</t>
    </r>
    <r>
      <rPr>
        <strike/>
        <sz val="9"/>
        <rFont val="Calibri"/>
        <family val="2"/>
      </rPr>
      <t/>
    </r>
  </si>
  <si>
    <t>4.4</t>
  </si>
  <si>
    <t>Modello assistenziale</t>
  </si>
  <si>
    <t>Indica il modello assistenziale come definito  per la struttura. I valori sono:
1. assistenza medica affidata a medici e personale specialista provenienti o incardinati nell'area geriatrica o internistica dell'ospedale o del territorio
2. struttura gestita dai MMG
3. struttura gestita con l'utilizzo di medici della continuità assistenziale
4. assistenza medica affidata a medici con specifiche capacità professionali della struttura o del  Centro servizi.</t>
  </si>
  <si>
    <t>4.5</t>
  </si>
  <si>
    <t>Responsabile sanitario</t>
  </si>
  <si>
    <t>Indica se il responsabile sanitario è incardinato presso:
1. Territorio
2. Ospedale</t>
  </si>
  <si>
    <t>4.6</t>
  </si>
  <si>
    <t>Denominazione dell'UDO</t>
  </si>
  <si>
    <t>A</t>
  </si>
  <si>
    <t>Denominazione dell'Unità di Offerta, come specificata nell'atto di autorizzazione o accreditamento.</t>
  </si>
  <si>
    <t>4.7</t>
  </si>
  <si>
    <t>Regione sede UDO</t>
  </si>
  <si>
    <t>Codice della Regione dove ha sede l'UDO. Il codice da utilizzare è quello a tre caratteri definito con DM 17 settembre 1986, pubblicato nella Gazzetta Ufficiale n.240 del 15 ottobre 1986, e successive modifiche, utilizzato anche nei modelli per le rilevazioni delle attività gestionali ed economiche delle Aziende unità sanitarie locali.</t>
  </si>
  <si>
    <t>4.8</t>
  </si>
  <si>
    <t>ULSS sede UDO</t>
  </si>
  <si>
    <t>Codice della Azienda ULSS dove ha sede l'UDO. Il campo deve essere valorizzato con i codici a tre caratteri dell' Azienda sanitaria in cui è ubicata la struttura OdC.</t>
  </si>
  <si>
    <t>4.9</t>
  </si>
  <si>
    <t>Comune sede UDO</t>
  </si>
  <si>
    <t xml:space="preserve">Codice ISTAT del Comune dove ha sede l'UDO.
Codici ISTAT (primi 3 caratteri per la provincia e i rimanenti 3 caratteri per il progressivo comune). </t>
  </si>
  <si>
    <t>4.10</t>
  </si>
  <si>
    <t>Indirizzo UDO</t>
  </si>
  <si>
    <t>Indicare l'indirizzo fisico comprensivo di numero civico.</t>
  </si>
  <si>
    <t>4.11</t>
  </si>
  <si>
    <t>Codice regionale dell'Ente gestore</t>
  </si>
  <si>
    <t>Indica il codice regionale dell'Ente Gestore. Utilizzare la stessa codifica di EG del flusso di cui alla DGR 2961/2012.</t>
  </si>
  <si>
    <t>4.12</t>
  </si>
  <si>
    <t>Denominazione dell'Ente gestore</t>
  </si>
  <si>
    <t>Denominazione dell'Ente Gestore.</t>
  </si>
  <si>
    <t>4.13</t>
  </si>
  <si>
    <t>Ragione giuridica dell'Ente gestore</t>
  </si>
  <si>
    <t>Indica la ragione giuridica dell'Ente titolare della gestione. La codifica è la seguente
1. ULSS
2. IPAB
3. Comune o Altro Ente locale
4. Azienda speciale
5. Fondazione
6. Società di capitali
7. Società cooperativa
8. Associazione non profit
9. Ente ecclesiastico
10. Altro</t>
  </si>
  <si>
    <t>4.14</t>
  </si>
  <si>
    <t>Comune sede EG</t>
  </si>
  <si>
    <t xml:space="preserve">Codice ISTAT del Comune sede dell'EG.
Codici ISTAT (primi 3 caratteri per la provincia e i rimanenti 3 caratteri per il progressivo comune). </t>
  </si>
  <si>
    <t>4.15</t>
  </si>
  <si>
    <t>Indirizzo EG</t>
  </si>
  <si>
    <t>Indicare l'indirizzo fisico comprensivo di numero civico</t>
  </si>
  <si>
    <t>4.16</t>
  </si>
  <si>
    <t>Partita IVA EG</t>
  </si>
  <si>
    <t>Numero di Partita IVA dell'Ente Gestore</t>
  </si>
  <si>
    <t>4.17</t>
  </si>
  <si>
    <t>Codice fiscale EG</t>
  </si>
  <si>
    <t>Codice Fiscale dell'Ente Gestore</t>
  </si>
  <si>
    <t>4.18</t>
  </si>
  <si>
    <t>Data inizio validità</t>
  </si>
  <si>
    <t>Data di inizio validità del record anagrafico</t>
  </si>
  <si>
    <t>4.19</t>
  </si>
  <si>
    <t>Data fine validità</t>
  </si>
  <si>
    <t>Data di fine validità del record anagrafico</t>
  </si>
  <si>
    <t>4.19.1</t>
  </si>
  <si>
    <t>COD_STRUT_EROG_STS</t>
  </si>
  <si>
    <t>Struttura erogatrice Codice STS11</t>
  </si>
  <si>
    <t>4.2 TRACCIATO REGIONALE ATTI LR 22/2002</t>
  </si>
  <si>
    <t>4.20</t>
  </si>
  <si>
    <t>Indica il codice regionale provvisorio della struttura erogatrice, in correlazione con il campo 4.1.</t>
  </si>
  <si>
    <t>4.21</t>
  </si>
  <si>
    <t>4.22</t>
  </si>
  <si>
    <t>ID atto</t>
  </si>
  <si>
    <t>Numero univoco del record del tracciato 4.2</t>
  </si>
  <si>
    <t>4.23</t>
  </si>
  <si>
    <t>Oggetto dell'atto</t>
  </si>
  <si>
    <t>I valori sono:
1. Autorizzazione all'esercizio
2. Accreditamento</t>
  </si>
  <si>
    <t>4.24</t>
  </si>
  <si>
    <t>Tipologia dell'Atto</t>
  </si>
  <si>
    <t>I valori sono:
1. Decreto dirigenziale
2. Deliberazione della Giunta regionale</t>
  </si>
  <si>
    <t>4.25</t>
  </si>
  <si>
    <t>Numero dell'atto</t>
  </si>
  <si>
    <t>Numero intero dell'atto (DGR o DDR)</t>
  </si>
  <si>
    <t>4.26</t>
  </si>
  <si>
    <t>Data dell'atto</t>
  </si>
  <si>
    <t>Data di approvazione/adozione dell'atto</t>
  </si>
  <si>
    <t>4.27</t>
  </si>
  <si>
    <t>Numero di posti</t>
  </si>
  <si>
    <t>Numero di posti oggetti di autorizzazione/accreditamento.</t>
  </si>
  <si>
    <t>4.28</t>
  </si>
  <si>
    <t>Caratteristiche dell'atto</t>
  </si>
  <si>
    <t>Il valore viene usato per rilevare se l'atto:
1. E' emesso per la prima volta
2. Modifica atto precedente integrando numero posti (in questo caso indicare nel campo XX solo il numero di posti aggiunti)
3. Revoca atto precedente definendo un nuovo totale dei posti
4. Rinnova atto precedente senza modificare contenuto
5. Modifica atto precedente senza variazioni del numero di posti (es. per variazioni EG, per variazioni di sede)</t>
  </si>
  <si>
    <t>4.29</t>
  </si>
  <si>
    <t>Data fine validità atto</t>
  </si>
  <si>
    <t>Data di cessazione della validità dell'atto</t>
  </si>
  <si>
    <t>4.30</t>
  </si>
  <si>
    <t>ID atto revocante</t>
  </si>
  <si>
    <t>ID dell'atto di revoca del presente</t>
  </si>
  <si>
    <t>Ultimo aggiornamento: 20 aprile 2026</t>
  </si>
  <si>
    <t>Si ricordano alcune regole generali di compilazione dei campi:</t>
  </si>
  <si>
    <t>1)</t>
  </si>
  <si>
    <t>I campi alfanumerici (a lunghezza variabile) vanno allineati a sinistra ed eventualmente completati con caratteri “spazio”; analogamente, se non valorizzati, essi devono contenere caratteri “spazio”.</t>
  </si>
  <si>
    <t>2)</t>
  </si>
  <si>
    <t>I campi numerici vanno allineati a destra ed eventualmente completati con caratteri “zero”; analogamente, se non valorizzati, essi devono contenere caratteri “zero”.</t>
  </si>
  <si>
    <t>3)</t>
  </si>
  <si>
    <r>
      <t xml:space="preserve">I campi numerici contenenti importi devono avere una parte decimale comunque valorizzata mediante due caratteri. In posizione fissa sul terz’ultimo byte il carattere di separazione della parte decimale dalla parte intera deve essere il </t>
    </r>
    <r>
      <rPr>
        <u/>
        <sz val="10"/>
        <color theme="1"/>
        <rFont val="Calibri"/>
        <family val="2"/>
      </rPr>
      <t>punto</t>
    </r>
    <r>
      <rPr>
        <sz val="10"/>
        <color theme="1"/>
        <rFont val="Calibri"/>
        <family val="2"/>
      </rPr>
      <t>. E' vietato  l’utilizzo di caratteri di separazione delle migliaia.</t>
    </r>
  </si>
  <si>
    <t>OBB=Obbligatorio, FAC=Facoltativo, NBB=Obbligatorietà condizionata dalla compilazione di altri campi/condizioni</t>
  </si>
  <si>
    <t>PERIODICITA' DI TRASMISSIONE DEL FLUSSO</t>
  </si>
  <si>
    <t>SEZIONE</t>
  </si>
  <si>
    <t>PERIODICITA'</t>
  </si>
  <si>
    <t>Mensile - entro il mese solare successivo alla data della dimissione del paziente</t>
  </si>
  <si>
    <t>Ad ogni aggiornamento - a cura di Azienda Zero</t>
  </si>
  <si>
    <t xml:space="preserve">Il flusso è a ricopertura: pertanto per i tracciati da 1 a 3 ad ogni fase deve essere inviata l'attività dall'inizio dell'anno fino alla fine della fase. Ad esempio in fase 2 deve essere inviata l'attività relativa a fase 1 e fase 2, in fase 10, l'attività relativa alle fasi 1, 2, 3, 4, 5, 6, 7, 8, 9 e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</si>
</sst>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scheme val="minor"/>
    </font>
    <font>
      <sz val="11"/>
      <color theme="1"/>
      <name val="Calibri"/>
      <family val="2"/>
      <scheme val="minor"/>
    </font>
    <font>
      <sz val="11"/>
      <color theme="1"/>
      <name val="Calibri"/>
      <family val="2"/>
      <scheme val="minor"/>
    </font>
    <font>
      <sz val="9"/>
      <color theme="1"/>
      <name val="Calibri"/>
      <family val="2"/>
    </font>
    <font>
      <sz val="11"/>
      <name val="Calibri"/>
      <family val="2"/>
    </font>
    <font>
      <b/>
      <sz val="9"/>
      <name val="Calibri"/>
      <family val="2"/>
    </font>
    <font>
      <sz val="9"/>
      <name val="Calibri"/>
      <family val="2"/>
    </font>
    <font>
      <sz val="11"/>
      <name val="Calibri"/>
      <family val="2"/>
      <scheme val="minor"/>
    </font>
    <font>
      <sz val="10"/>
      <name val="Calibri"/>
      <family val="2"/>
    </font>
    <font>
      <sz val="9"/>
      <name val="Calibri"/>
      <family val="2"/>
      <scheme val="minor"/>
    </font>
    <font>
      <sz val="9"/>
      <color theme="1"/>
      <name val="Calibri"/>
      <family val="2"/>
      <scheme val="minor"/>
    </font>
    <font>
      <b/>
      <sz val="16"/>
      <name val="Arial"/>
      <family val="2"/>
    </font>
    <font>
      <b/>
      <sz val="12"/>
      <name val="Calibri"/>
      <family val="2"/>
    </font>
    <font>
      <sz val="10"/>
      <name val="Arial"/>
      <family val="2"/>
    </font>
    <font>
      <strike/>
      <sz val="9"/>
      <name val="Calibri"/>
      <family val="2"/>
    </font>
    <font>
      <b/>
      <sz val="9"/>
      <name val="Calibri"/>
      <family val="2"/>
      <scheme val="minor"/>
    </font>
    <font>
      <b/>
      <sz val="9"/>
      <name val="Arial"/>
      <family val="2"/>
    </font>
    <font>
      <b/>
      <sz val="11"/>
      <name val="Calibri"/>
      <family val="2"/>
    </font>
    <font>
      <sz val="8"/>
      <name val="Calibri"/>
      <family val="2"/>
    </font>
    <font>
      <b/>
      <sz val="10"/>
      <color theme="1"/>
      <name val="Calibri"/>
      <family val="2"/>
    </font>
    <font>
      <sz val="10"/>
      <color theme="1"/>
      <name val="Calibri"/>
      <family val="2"/>
      <scheme val="minor"/>
    </font>
    <font>
      <sz val="10"/>
      <color theme="1"/>
      <name val="Calibri"/>
      <family val="2"/>
    </font>
    <font>
      <u/>
      <sz val="10"/>
      <color theme="1"/>
      <name val="Calibri"/>
      <family val="2"/>
    </font>
    <font>
      <b/>
      <sz val="14"/>
      <name val="Arial"/>
      <family val="2"/>
    </font>
    <font>
      <b/>
      <sz val="9"/>
      <color rgb="FFFF0000"/>
      <name val="Calibri"/>
      <family val="2"/>
    </font>
    <font>
      <b/>
      <sz val="10"/>
      <name val="Calibri"/>
      <family val="2"/>
    </font>
  </fonts>
  <fills count="4">
    <fill>
      <patternFill patternType="none"/>
    </fill>
    <fill>
      <patternFill patternType="gray125"/>
    </fill>
    <fill>
      <patternFill patternType="solid">
        <fgColor rgb="FFFFFFCC"/>
        <bgColor rgb="FFFFFFCC"/>
      </patternFill>
    </fill>
    <fill>
      <patternFill patternType="solid">
        <fgColor rgb="FFFFFFFF"/>
        <bgColor rgb="FFFFFFFF"/>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diagonal/>
    </border>
  </borders>
  <cellStyleXfs count="3">
    <xf numFmtId="0" fontId="0" fillId="0" borderId="0"/>
    <xf numFmtId="0" fontId="2" fillId="0" borderId="4"/>
    <xf numFmtId="0" fontId="1" fillId="0" borderId="4"/>
  </cellStyleXfs>
  <cellXfs count="84">
    <xf numFmtId="0" fontId="0" fillId="0" borderId="0" xfId="0"/>
    <xf numFmtId="0" fontId="0" fillId="0" borderId="4" xfId="0" applyBorder="1"/>
    <xf numFmtId="0" fontId="7" fillId="0" borderId="0" xfId="0" applyFont="1"/>
    <xf numFmtId="0" fontId="3" fillId="0" borderId="0" xfId="0" applyFont="1" applyAlignment="1">
      <alignment horizontal="center" vertical="center"/>
    </xf>
    <xf numFmtId="0" fontId="0" fillId="0" borderId="0" xfId="0" applyAlignment="1">
      <alignment horizontal="center" vertical="center"/>
    </xf>
    <xf numFmtId="0" fontId="7" fillId="0" borderId="4" xfId="0" applyFont="1" applyBorder="1"/>
    <xf numFmtId="0" fontId="10" fillId="0" borderId="0" xfId="0" applyFont="1" applyAlignment="1">
      <alignment vertical="center"/>
    </xf>
    <xf numFmtId="0" fontId="3" fillId="0" borderId="4" xfId="0" applyFont="1" applyBorder="1" applyAlignment="1">
      <alignment horizontal="right" vertical="center"/>
    </xf>
    <xf numFmtId="0" fontId="3" fillId="0" borderId="4" xfId="0" applyFont="1" applyBorder="1" applyAlignment="1">
      <alignment horizontal="left" vertical="center" wrapText="1"/>
    </xf>
    <xf numFmtId="0" fontId="4" fillId="0" borderId="4" xfId="0" applyFont="1" applyBorder="1" applyAlignment="1">
      <alignment vertical="center"/>
    </xf>
    <xf numFmtId="0" fontId="3" fillId="0" borderId="0" xfId="0" applyFont="1"/>
    <xf numFmtId="0" fontId="5" fillId="0" borderId="0" xfId="0" applyFont="1" applyAlignment="1">
      <alignment horizontal="center" vertical="center" wrapText="1"/>
    </xf>
    <xf numFmtId="0" fontId="5" fillId="0" borderId="0" xfId="0" applyFont="1" applyAlignment="1">
      <alignment horizontal="center" vertical="center" textRotation="90" wrapText="1"/>
    </xf>
    <xf numFmtId="0" fontId="6" fillId="0" borderId="4" xfId="0" applyFont="1" applyBorder="1" applyAlignment="1">
      <alignment vertical="center"/>
    </xf>
    <xf numFmtId="0" fontId="6" fillId="0" borderId="5" xfId="0" applyFont="1" applyBorder="1" applyAlignment="1">
      <alignment horizontal="left"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xf>
    <xf numFmtId="0" fontId="15" fillId="0" borderId="5" xfId="0" applyFont="1" applyBorder="1" applyAlignment="1">
      <alignment horizontal="left" vertical="center" wrapText="1"/>
    </xf>
    <xf numFmtId="0" fontId="6" fillId="0" borderId="5" xfId="0" applyFont="1" applyBorder="1" applyAlignment="1">
      <alignment horizontal="center" vertical="center" wrapText="1"/>
    </xf>
    <xf numFmtId="0" fontId="6" fillId="0" borderId="5" xfId="0" applyFont="1" applyBorder="1" applyAlignment="1">
      <alignment vertical="top" wrapText="1"/>
    </xf>
    <xf numFmtId="0" fontId="5" fillId="0" borderId="4" xfId="0" applyFont="1" applyBorder="1" applyAlignment="1">
      <alignment horizontal="center" vertical="center" wrapText="1"/>
    </xf>
    <xf numFmtId="0" fontId="16" fillId="0" borderId="4" xfId="0" applyFont="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vertical="top" wrapText="1"/>
    </xf>
    <xf numFmtId="0" fontId="6" fillId="0" borderId="4" xfId="0" applyFont="1" applyBorder="1" applyAlignment="1">
      <alignment horizontal="center" vertical="center"/>
    </xf>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5" fillId="0" borderId="0" xfId="0" applyFont="1" applyAlignment="1">
      <alignment horizontal="left" vertical="center" wrapText="1"/>
    </xf>
    <xf numFmtId="0" fontId="8"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9" fillId="0" borderId="5" xfId="0" applyFont="1" applyBorder="1" applyAlignment="1">
      <alignment vertical="center" wrapText="1"/>
    </xf>
    <xf numFmtId="0" fontId="7" fillId="0" borderId="0" xfId="0" applyFont="1" applyAlignment="1">
      <alignment horizontal="center" vertical="center"/>
    </xf>
    <xf numFmtId="0" fontId="6" fillId="0" borderId="0" xfId="0" applyFont="1" applyAlignment="1">
      <alignment horizontal="center" vertical="center"/>
    </xf>
    <xf numFmtId="49" fontId="6" fillId="0" borderId="0" xfId="0" applyNumberFormat="1" applyFont="1" applyAlignment="1">
      <alignment horizontal="center" vertical="center" wrapText="1"/>
    </xf>
    <xf numFmtId="0" fontId="12" fillId="0" borderId="7" xfId="0" applyFont="1" applyBorder="1" applyAlignment="1">
      <alignment vertical="center"/>
    </xf>
    <xf numFmtId="0" fontId="6" fillId="0" borderId="6" xfId="0" applyFont="1" applyBorder="1" applyAlignment="1">
      <alignment horizontal="center" vertical="center"/>
    </xf>
    <xf numFmtId="0" fontId="6" fillId="0" borderId="6" xfId="0" applyFont="1" applyBorder="1" applyAlignment="1">
      <alignment vertical="center"/>
    </xf>
    <xf numFmtId="0" fontId="6" fillId="0" borderId="6" xfId="0" applyFont="1" applyBorder="1" applyAlignment="1">
      <alignment horizontal="left" vertical="center" wrapText="1"/>
    </xf>
    <xf numFmtId="0" fontId="5" fillId="0" borderId="5" xfId="0" applyFont="1" applyBorder="1" applyAlignment="1">
      <alignment horizontal="left" vertical="center" wrapText="1"/>
    </xf>
    <xf numFmtId="0" fontId="8" fillId="0" borderId="5" xfId="0" applyFont="1" applyBorder="1" applyAlignment="1">
      <alignment horizontal="center" vertical="center" wrapText="1"/>
    </xf>
    <xf numFmtId="0" fontId="7" fillId="0" borderId="4" xfId="0" applyFont="1" applyBorder="1" applyAlignment="1">
      <alignment horizontal="center" vertical="center"/>
    </xf>
    <xf numFmtId="0" fontId="6" fillId="0" borderId="0" xfId="0" applyFont="1"/>
    <xf numFmtId="0" fontId="3" fillId="0" borderId="4" xfId="0" applyFont="1" applyBorder="1"/>
    <xf numFmtId="0" fontId="4" fillId="0" borderId="4" xfId="0" applyFont="1" applyBorder="1"/>
    <xf numFmtId="0" fontId="19" fillId="0" borderId="4" xfId="0" applyFont="1" applyBorder="1" applyAlignment="1">
      <alignment vertical="center" wrapText="1"/>
    </xf>
    <xf numFmtId="0" fontId="13" fillId="0" borderId="5" xfId="0" applyFont="1" applyBorder="1" applyAlignment="1">
      <alignment horizontal="center" vertical="center"/>
    </xf>
    <xf numFmtId="0" fontId="5" fillId="3" borderId="5" xfId="0" applyFont="1" applyFill="1" applyBorder="1" applyAlignment="1">
      <alignment horizontal="center" vertical="center" wrapText="1"/>
    </xf>
    <xf numFmtId="0" fontId="5" fillId="3" borderId="5" xfId="0" applyFont="1" applyFill="1" applyBorder="1" applyAlignment="1">
      <alignment horizontal="left" vertical="center" wrapText="1"/>
    </xf>
    <xf numFmtId="0" fontId="6" fillId="3" borderId="5" xfId="0" applyFont="1" applyFill="1" applyBorder="1" applyAlignment="1">
      <alignment horizontal="center" vertical="center" wrapText="1"/>
    </xf>
    <xf numFmtId="0" fontId="17" fillId="0" borderId="5" xfId="0" applyFont="1" applyBorder="1" applyAlignment="1">
      <alignment horizontal="center" vertical="center"/>
    </xf>
    <xf numFmtId="0" fontId="18" fillId="0" borderId="5" xfId="0" applyFont="1" applyBorder="1" applyAlignment="1">
      <alignment horizontal="left" vertical="center" wrapText="1"/>
    </xf>
    <xf numFmtId="49" fontId="6" fillId="0" borderId="5" xfId="0" applyNumberFormat="1" applyFont="1" applyBorder="1" applyAlignment="1">
      <alignment horizontal="center" vertical="center" wrapText="1"/>
    </xf>
    <xf numFmtId="0" fontId="19" fillId="0" borderId="5" xfId="0" applyFont="1" applyBorder="1" applyAlignment="1">
      <alignment vertical="center"/>
    </xf>
    <xf numFmtId="0" fontId="20" fillId="0" borderId="5" xfId="0" applyFont="1" applyBorder="1"/>
    <xf numFmtId="0" fontId="21" fillId="0" borderId="4" xfId="0" applyFont="1" applyBorder="1" applyAlignment="1">
      <alignment horizontal="center" vertical="center"/>
    </xf>
    <xf numFmtId="0" fontId="8" fillId="0" borderId="4" xfId="0" applyFont="1" applyBorder="1"/>
    <xf numFmtId="0" fontId="8" fillId="0" borderId="4" xfId="0" applyFont="1" applyBorder="1" applyAlignment="1">
      <alignment vertical="center"/>
    </xf>
    <xf numFmtId="0" fontId="21" fillId="0" borderId="5" xfId="0" applyFont="1" applyBorder="1" applyAlignment="1">
      <alignment horizontal="center" vertical="center"/>
    </xf>
    <xf numFmtId="0" fontId="19" fillId="0" borderId="5" xfId="0" applyFont="1" applyBorder="1" applyAlignment="1">
      <alignment vertical="top" wrapText="1"/>
    </xf>
    <xf numFmtId="0" fontId="21" fillId="0" borderId="5" xfId="0" applyFont="1" applyBorder="1" applyAlignment="1">
      <alignment horizontal="right" vertical="center"/>
    </xf>
    <xf numFmtId="0" fontId="21" fillId="0" borderId="5" xfId="0" applyFont="1" applyBorder="1" applyAlignment="1">
      <alignment vertical="center" wrapText="1"/>
    </xf>
    <xf numFmtId="0" fontId="21" fillId="0" borderId="5" xfId="0" applyFont="1" applyBorder="1" applyAlignment="1">
      <alignment wrapText="1"/>
    </xf>
    <xf numFmtId="0" fontId="20" fillId="0" borderId="5" xfId="0" applyFont="1" applyBorder="1" applyAlignment="1">
      <alignment wrapText="1"/>
    </xf>
    <xf numFmtId="0" fontId="11" fillId="0" borderId="4" xfId="0" applyFont="1" applyBorder="1" applyAlignment="1">
      <alignment vertical="center" wrapText="1"/>
    </xf>
    <xf numFmtId="0" fontId="5" fillId="0" borderId="8" xfId="0" applyFont="1" applyBorder="1" applyAlignment="1">
      <alignment horizontal="center" vertical="center" wrapText="1"/>
    </xf>
    <xf numFmtId="0" fontId="12" fillId="0" borderId="4" xfId="0" applyFont="1" applyBorder="1" applyAlignment="1">
      <alignment vertical="center"/>
    </xf>
    <xf numFmtId="0" fontId="12" fillId="0" borderId="6" xfId="0" applyFont="1" applyBorder="1" applyAlignment="1">
      <alignment vertical="center"/>
    </xf>
    <xf numFmtId="0" fontId="5" fillId="2" borderId="9" xfId="0" applyFont="1" applyFill="1" applyBorder="1" applyAlignment="1">
      <alignment horizontal="center" vertical="center" wrapText="1"/>
    </xf>
    <xf numFmtId="0" fontId="11" fillId="0" borderId="6" xfId="0" applyFont="1" applyBorder="1" applyAlignment="1">
      <alignment horizontal="center" vertical="center" wrapText="1"/>
    </xf>
    <xf numFmtId="0" fontId="5" fillId="2" borderId="10"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11" xfId="0" applyFont="1" applyBorder="1" applyAlignment="1">
      <alignment horizontal="center" vertical="center" wrapText="1"/>
    </xf>
    <xf numFmtId="0" fontId="24" fillId="0" borderId="5" xfId="0" applyFont="1" applyBorder="1" applyAlignment="1">
      <alignment horizontal="center" vertical="center" wrapText="1"/>
    </xf>
    <xf numFmtId="0" fontId="25"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0" fontId="3" fillId="0" borderId="4" xfId="0" applyFont="1" applyBorder="1" applyAlignment="1">
      <alignment vertical="center"/>
    </xf>
    <xf numFmtId="0" fontId="11" fillId="0" borderId="4" xfId="0" applyFont="1" applyBorder="1" applyAlignment="1">
      <alignment horizontal="center" vertical="center" wrapText="1"/>
    </xf>
    <xf numFmtId="0" fontId="6" fillId="0" borderId="1" xfId="0" applyFont="1" applyBorder="1" applyAlignment="1">
      <alignment horizontal="left"/>
    </xf>
    <xf numFmtId="0" fontId="4" fillId="0" borderId="2" xfId="0" applyFont="1" applyBorder="1"/>
    <xf numFmtId="0" fontId="4" fillId="0" borderId="3" xfId="0" applyFont="1" applyBorder="1"/>
    <xf numFmtId="0" fontId="23" fillId="0" borderId="4" xfId="0" applyFont="1" applyBorder="1" applyAlignment="1">
      <alignment horizontal="center" vertical="center" wrapText="1"/>
    </xf>
  </cellXfs>
  <cellStyles count="3">
    <cellStyle name="Normale" xfId="0" builtinId="0"/>
    <cellStyle name="Normale 2" xfId="1" xr:uid="{00000000-0005-0000-0000-000001000000}"/>
    <cellStyle name="Normale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91441</xdr:colOff>
      <xdr:row>2</xdr:row>
      <xdr:rowOff>114299</xdr:rowOff>
    </xdr:from>
    <xdr:to>
      <xdr:col>9</xdr:col>
      <xdr:colOff>495300</xdr:colOff>
      <xdr:row>41</xdr:row>
      <xdr:rowOff>28575</xdr:rowOff>
    </xdr:to>
    <xdr:sp macro="" textlink="">
      <xdr:nvSpPr>
        <xdr:cNvPr id="2" name="CasellaDiTesto 1">
          <a:extLst>
            <a:ext uri="{FF2B5EF4-FFF2-40B4-BE49-F238E27FC236}">
              <a16:creationId xmlns:a16="http://schemas.microsoft.com/office/drawing/2014/main" id="{00000000-0008-0000-0000-000002000000}"/>
            </a:ext>
          </a:extLst>
        </xdr:cNvPr>
        <xdr:cNvSpPr txBox="1"/>
      </xdr:nvSpPr>
      <xdr:spPr>
        <a:xfrm>
          <a:off x="91441" y="476249"/>
          <a:ext cx="5652134" cy="6972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it-IT" sz="2000" b="1"/>
        </a:p>
        <a:p>
          <a:pPr algn="ctr"/>
          <a:endParaRPr lang="it-IT" sz="2000" b="1"/>
        </a:p>
        <a:p>
          <a:pPr algn="ctr"/>
          <a:endParaRPr lang="it-IT" sz="2000" b="1"/>
        </a:p>
        <a:p>
          <a:pPr algn="ctr"/>
          <a:endParaRPr lang="it-IT" sz="2000" b="1"/>
        </a:p>
        <a:p>
          <a:pPr algn="ctr"/>
          <a:r>
            <a:rPr lang="it-IT" sz="2000" b="1"/>
            <a:t>Sistema informativo </a:t>
          </a:r>
        </a:p>
        <a:p>
          <a:pPr algn="ctr"/>
          <a:r>
            <a:rPr lang="it-IT" sz="2000" b="1"/>
            <a:t>per il monitoraggio</a:t>
          </a:r>
          <a:r>
            <a:rPr lang="it-IT" sz="2000" b="1" baseline="0"/>
            <a:t> delle attività </a:t>
          </a:r>
        </a:p>
        <a:p>
          <a:pPr algn="ctr"/>
          <a:r>
            <a:rPr lang="it-IT" sz="2000" b="1" baseline="0"/>
            <a:t>erogate dagli ospedali di comunità - SIOC</a:t>
          </a:r>
        </a:p>
        <a:p>
          <a:pPr algn="ctr"/>
          <a:endParaRPr lang="it-IT" sz="2000" b="1" baseline="0"/>
        </a:p>
        <a:p>
          <a:pPr algn="ctr"/>
          <a:endParaRPr lang="it-IT" sz="2000" b="1" baseline="0"/>
        </a:p>
        <a:p>
          <a:pPr algn="ctr"/>
          <a:r>
            <a:rPr lang="it-IT" sz="2000" b="1" baseline="0"/>
            <a:t>TRACCIATO RECORD REGIONALE</a:t>
          </a:r>
        </a:p>
        <a:p>
          <a:pPr algn="ctr"/>
          <a:endParaRPr lang="it-IT" sz="2000" b="1" baseline="0"/>
        </a:p>
        <a:p>
          <a:pPr algn="ctr"/>
          <a:endParaRPr lang="it-IT" sz="2000" b="1" baseline="0"/>
        </a:p>
      </xdr:txBody>
    </xdr:sp>
    <xdr:clientData/>
  </xdr:twoCellAnchor>
  <xdr:twoCellAnchor editAs="oneCell">
    <xdr:from>
      <xdr:col>7</xdr:col>
      <xdr:colOff>486130</xdr:colOff>
      <xdr:row>2</xdr:row>
      <xdr:rowOff>180240</xdr:rowOff>
    </xdr:from>
    <xdr:to>
      <xdr:col>9</xdr:col>
      <xdr:colOff>409721</xdr:colOff>
      <xdr:row>6</xdr:row>
      <xdr:rowOff>47623</xdr:rowOff>
    </xdr:to>
    <xdr:pic>
      <xdr:nvPicPr>
        <xdr:cNvPr id="3" name="Immagine 2">
          <a:extLst>
            <a:ext uri="{FF2B5EF4-FFF2-40B4-BE49-F238E27FC236}">
              <a16:creationId xmlns:a16="http://schemas.microsoft.com/office/drawing/2014/main" id="{8816C3B4-C3C5-4D46-8DF1-06101A996295}"/>
            </a:ext>
          </a:extLst>
        </xdr:cNvPr>
        <xdr:cNvPicPr>
          <a:picLocks noChangeAspect="1"/>
        </xdr:cNvPicPr>
      </xdr:nvPicPr>
      <xdr:blipFill rotWithShape="1">
        <a:blip xmlns:r="http://schemas.openxmlformats.org/officeDocument/2006/relationships" r:embed="rId1"/>
        <a:srcRect t="23974" b="22966"/>
        <a:stretch>
          <a:fillRect/>
        </a:stretch>
      </xdr:blipFill>
      <xdr:spPr>
        <a:xfrm>
          <a:off x="4515205" y="542190"/>
          <a:ext cx="1142791" cy="591283"/>
        </a:xfrm>
        <a:prstGeom prst="rect">
          <a:avLst/>
        </a:prstGeom>
      </xdr:spPr>
    </xdr:pic>
    <xdr:clientData/>
  </xdr:twoCellAnchor>
  <xdr:twoCellAnchor editAs="oneCell">
    <xdr:from>
      <xdr:col>0</xdr:col>
      <xdr:colOff>152400</xdr:colOff>
      <xdr:row>2</xdr:row>
      <xdr:rowOff>120015</xdr:rowOff>
    </xdr:from>
    <xdr:to>
      <xdr:col>3</xdr:col>
      <xdr:colOff>171724</xdr:colOff>
      <xdr:row>7</xdr:row>
      <xdr:rowOff>7765</xdr:rowOff>
    </xdr:to>
    <xdr:pic>
      <xdr:nvPicPr>
        <xdr:cNvPr id="4" name="Immagine 3">
          <a:extLst>
            <a:ext uri="{FF2B5EF4-FFF2-40B4-BE49-F238E27FC236}">
              <a16:creationId xmlns:a16="http://schemas.microsoft.com/office/drawing/2014/main" id="{7C0B7526-EF91-431A-B8FD-BFC7EB17E70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762" t="23915" r="15121" b="23689"/>
        <a:stretch>
          <a:fillRect/>
        </a:stretch>
      </xdr:blipFill>
      <xdr:spPr>
        <a:xfrm>
          <a:off x="152400" y="481965"/>
          <a:ext cx="1609999" cy="792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4096252</xdr:colOff>
      <xdr:row>0</xdr:row>
      <xdr:rowOff>110197</xdr:rowOff>
    </xdr:from>
    <xdr:to>
      <xdr:col>7</xdr:col>
      <xdr:colOff>5113313</xdr:colOff>
      <xdr:row>2</xdr:row>
      <xdr:rowOff>323704</xdr:rowOff>
    </xdr:to>
    <xdr:pic>
      <xdr:nvPicPr>
        <xdr:cNvPr id="2" name="Immagine 1">
          <a:extLst>
            <a:ext uri="{FF2B5EF4-FFF2-40B4-BE49-F238E27FC236}">
              <a16:creationId xmlns:a16="http://schemas.microsoft.com/office/drawing/2014/main" id="{2DA01FCF-A07D-484F-1EDE-BC123B49DE1F}"/>
            </a:ext>
          </a:extLst>
        </xdr:cNvPr>
        <xdr:cNvPicPr>
          <a:picLocks noChangeAspect="1"/>
        </xdr:cNvPicPr>
      </xdr:nvPicPr>
      <xdr:blipFill rotWithShape="1">
        <a:blip xmlns:r="http://schemas.openxmlformats.org/officeDocument/2006/relationships" r:embed="rId1"/>
        <a:srcRect t="23974" b="22966"/>
        <a:stretch>
          <a:fillRect/>
        </a:stretch>
      </xdr:blipFill>
      <xdr:spPr>
        <a:xfrm>
          <a:off x="8624290" y="110197"/>
          <a:ext cx="1144696" cy="589378"/>
        </a:xfrm>
        <a:prstGeom prst="rect">
          <a:avLst/>
        </a:prstGeom>
      </xdr:spPr>
    </xdr:pic>
    <xdr:clientData/>
  </xdr:twoCellAnchor>
  <xdr:twoCellAnchor editAs="oneCell">
    <xdr:from>
      <xdr:col>0</xdr:col>
      <xdr:colOff>0</xdr:colOff>
      <xdr:row>0</xdr:row>
      <xdr:rowOff>48067</xdr:rowOff>
    </xdr:from>
    <xdr:to>
      <xdr:col>2</xdr:col>
      <xdr:colOff>630096</xdr:colOff>
      <xdr:row>2</xdr:row>
      <xdr:rowOff>472441</xdr:rowOff>
    </xdr:to>
    <xdr:pic>
      <xdr:nvPicPr>
        <xdr:cNvPr id="4" name="Immagine 3">
          <a:extLst>
            <a:ext uri="{FF2B5EF4-FFF2-40B4-BE49-F238E27FC236}">
              <a16:creationId xmlns:a16="http://schemas.microsoft.com/office/drawing/2014/main" id="{DC9C0614-0D92-9F26-34F5-BDD65578AEE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762" t="23915" r="15121" b="23689"/>
        <a:stretch>
          <a:fillRect/>
        </a:stretch>
      </xdr:blipFill>
      <xdr:spPr>
        <a:xfrm>
          <a:off x="0" y="48067"/>
          <a:ext cx="1602379" cy="7945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4342167</xdr:colOff>
      <xdr:row>0</xdr:row>
      <xdr:rowOff>56415</xdr:rowOff>
    </xdr:from>
    <xdr:to>
      <xdr:col>3</xdr:col>
      <xdr:colOff>463</xdr:colOff>
      <xdr:row>2</xdr:row>
      <xdr:rowOff>288288</xdr:rowOff>
    </xdr:to>
    <xdr:pic>
      <xdr:nvPicPr>
        <xdr:cNvPr id="8" name="Immagine 7">
          <a:extLst>
            <a:ext uri="{FF2B5EF4-FFF2-40B4-BE49-F238E27FC236}">
              <a16:creationId xmlns:a16="http://schemas.microsoft.com/office/drawing/2014/main" id="{FFCB0EC0-8888-42ED-AD96-6E6C7ED7199B}"/>
            </a:ext>
          </a:extLst>
        </xdr:cNvPr>
        <xdr:cNvPicPr>
          <a:picLocks noChangeAspect="1"/>
        </xdr:cNvPicPr>
      </xdr:nvPicPr>
      <xdr:blipFill rotWithShape="1">
        <a:blip xmlns:r="http://schemas.openxmlformats.org/officeDocument/2006/relationships" r:embed="rId1"/>
        <a:srcRect t="23974" b="22966"/>
        <a:stretch>
          <a:fillRect/>
        </a:stretch>
      </xdr:blipFill>
      <xdr:spPr>
        <a:xfrm>
          <a:off x="7493355" y="56415"/>
          <a:ext cx="1135171" cy="600808"/>
        </a:xfrm>
        <a:prstGeom prst="rect">
          <a:avLst/>
        </a:prstGeom>
      </xdr:spPr>
    </xdr:pic>
    <xdr:clientData/>
  </xdr:twoCellAnchor>
  <xdr:twoCellAnchor editAs="oneCell">
    <xdr:from>
      <xdr:col>0</xdr:col>
      <xdr:colOff>103188</xdr:colOff>
      <xdr:row>0</xdr:row>
      <xdr:rowOff>59690</xdr:rowOff>
    </xdr:from>
    <xdr:to>
      <xdr:col>1</xdr:col>
      <xdr:colOff>1605872</xdr:colOff>
      <xdr:row>2</xdr:row>
      <xdr:rowOff>481475</xdr:rowOff>
    </xdr:to>
    <xdr:pic>
      <xdr:nvPicPr>
        <xdr:cNvPr id="9" name="Immagine 8">
          <a:extLst>
            <a:ext uri="{FF2B5EF4-FFF2-40B4-BE49-F238E27FC236}">
              <a16:creationId xmlns:a16="http://schemas.microsoft.com/office/drawing/2014/main" id="{E95D905C-F3E7-4E9F-9031-D18965087A4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762" t="23915" r="15121" b="23689"/>
        <a:stretch>
          <a:fillRect/>
        </a:stretch>
      </xdr:blipFill>
      <xdr:spPr>
        <a:xfrm>
          <a:off x="103188" y="59690"/>
          <a:ext cx="1613809" cy="78691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workbookViewId="0"/>
  </sheetViews>
  <sheetFormatPr defaultRowHeight="15" x14ac:dyDescent="0.25"/>
  <cols>
    <col min="1" max="1" width="5.42578125" customWidth="1"/>
  </cols>
  <sheetData/>
  <pageMargins left="0.70866141732283472" right="0.70866141732283472" top="0.74803149606299213" bottom="0.74803149606299213" header="0.31496062992125984" footer="0.31496062992125984"/>
  <pageSetup paperSize="9" scale="99" orientation="portrait" r:id="rId1"/>
  <headerFooter>
    <oddFooter>&amp;R&amp;P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2:I156"/>
  <sheetViews>
    <sheetView tabSelected="1" topLeftCell="A106" zoomScale="160" zoomScaleNormal="160" zoomScaleSheetLayoutView="130" workbookViewId="0">
      <selection activeCell="I107" sqref="I107"/>
    </sheetView>
  </sheetViews>
  <sheetFormatPr defaultColWidth="14.42578125" defaultRowHeight="15" x14ac:dyDescent="0.25"/>
  <cols>
    <col min="1" max="1" width="8.5703125" style="2" customWidth="1"/>
    <col min="2" max="2" width="5.7109375" style="32" bestFit="1" customWidth="1"/>
    <col min="3" max="3" width="27.42578125" style="2" bestFit="1" customWidth="1"/>
    <col min="4" max="4" width="6.7109375" style="2" customWidth="1"/>
    <col min="5" max="5" width="8.28515625" style="2" customWidth="1"/>
    <col min="6" max="6" width="4.28515625" style="2" bestFit="1" customWidth="1"/>
    <col min="7" max="7" width="5" style="2" customWidth="1"/>
    <col min="8" max="8" width="76.7109375" style="2" customWidth="1"/>
    <col min="9" max="16384" width="14.42578125" style="2"/>
  </cols>
  <sheetData>
    <row r="2" spans="1:8" x14ac:dyDescent="0.25">
      <c r="A2" s="5"/>
      <c r="B2" s="41"/>
      <c r="C2" s="5"/>
      <c r="D2" s="5"/>
      <c r="E2" s="5"/>
      <c r="F2" s="5"/>
      <c r="G2" s="5"/>
      <c r="H2" s="5"/>
    </row>
    <row r="3" spans="1:8" ht="59.25" customHeight="1" x14ac:dyDescent="0.25">
      <c r="A3" s="79" t="s">
        <v>0</v>
      </c>
      <c r="B3" s="79"/>
      <c r="C3" s="79"/>
      <c r="D3" s="79"/>
      <c r="E3" s="79"/>
      <c r="F3" s="79"/>
      <c r="G3" s="79"/>
      <c r="H3" s="79"/>
    </row>
    <row r="4" spans="1:8" ht="20.25" x14ac:dyDescent="0.25">
      <c r="A4" s="69"/>
      <c r="B4" s="69"/>
      <c r="C4" s="69"/>
      <c r="D4" s="69"/>
      <c r="E4" s="69"/>
      <c r="F4" s="69"/>
      <c r="G4" s="69"/>
      <c r="H4" s="69"/>
    </row>
    <row r="5" spans="1:8" x14ac:dyDescent="0.25">
      <c r="A5" s="71" t="s">
        <v>1</v>
      </c>
      <c r="B5" s="70" t="s">
        <v>2</v>
      </c>
      <c r="C5" s="68" t="s">
        <v>3</v>
      </c>
      <c r="D5" s="68" t="s">
        <v>4</v>
      </c>
      <c r="E5" s="68" t="s">
        <v>5</v>
      </c>
      <c r="F5" s="68" t="s">
        <v>6</v>
      </c>
      <c r="G5" s="68" t="s">
        <v>7</v>
      </c>
      <c r="H5" s="68" t="s">
        <v>8</v>
      </c>
    </row>
    <row r="6" spans="1:8" x14ac:dyDescent="0.25">
      <c r="A6" s="20"/>
      <c r="B6" s="12"/>
      <c r="C6" s="11"/>
      <c r="D6" s="12"/>
      <c r="E6" s="12"/>
      <c r="F6" s="12"/>
      <c r="G6" s="12"/>
      <c r="H6" s="11"/>
    </row>
    <row r="7" spans="1:8" ht="15.75" x14ac:dyDescent="0.25">
      <c r="A7" s="67" t="s">
        <v>9</v>
      </c>
      <c r="B7" s="24"/>
      <c r="C7" s="13"/>
      <c r="D7" s="13"/>
      <c r="E7" s="13"/>
      <c r="F7" s="13"/>
      <c r="G7" s="13"/>
      <c r="H7" s="13"/>
    </row>
    <row r="8" spans="1:8" ht="132" x14ac:dyDescent="0.25">
      <c r="A8" s="65" t="s">
        <v>10</v>
      </c>
      <c r="B8" s="16" t="s">
        <v>11</v>
      </c>
      <c r="C8" s="39" t="s">
        <v>12</v>
      </c>
      <c r="D8" s="18">
        <v>20</v>
      </c>
      <c r="E8" s="18">
        <v>1</v>
      </c>
      <c r="F8" s="18" t="s">
        <v>13</v>
      </c>
      <c r="G8" s="18" t="s">
        <v>7</v>
      </c>
      <c r="H8" s="14" t="s">
        <v>14</v>
      </c>
    </row>
    <row r="9" spans="1:8" ht="72" x14ac:dyDescent="0.25">
      <c r="A9" s="15" t="s">
        <v>15</v>
      </c>
      <c r="B9" s="15"/>
      <c r="C9" s="39" t="s">
        <v>16</v>
      </c>
      <c r="D9" s="18">
        <v>20</v>
      </c>
      <c r="E9" s="18">
        <f>+E8+D8</f>
        <v>21</v>
      </c>
      <c r="F9" s="18" t="s">
        <v>13</v>
      </c>
      <c r="G9" s="18" t="s">
        <v>7</v>
      </c>
      <c r="H9" s="14" t="s">
        <v>17</v>
      </c>
    </row>
    <row r="10" spans="1:8" ht="108" x14ac:dyDescent="0.25">
      <c r="A10" s="15" t="s">
        <v>18</v>
      </c>
      <c r="B10" s="15"/>
      <c r="C10" s="39" t="s">
        <v>19</v>
      </c>
      <c r="D10" s="18">
        <v>2</v>
      </c>
      <c r="E10" s="18">
        <f>+E9+D9</f>
        <v>41</v>
      </c>
      <c r="F10" s="18" t="s">
        <v>13</v>
      </c>
      <c r="G10" s="18" t="s">
        <v>7</v>
      </c>
      <c r="H10" s="14" t="s">
        <v>20</v>
      </c>
    </row>
    <row r="11" spans="1:8" ht="72" x14ac:dyDescent="0.25">
      <c r="A11" s="15" t="s">
        <v>21</v>
      </c>
      <c r="B11" s="15"/>
      <c r="C11" s="39" t="s">
        <v>22</v>
      </c>
      <c r="D11" s="18">
        <v>28</v>
      </c>
      <c r="E11" s="18">
        <f t="shared" ref="E11:E25" si="0">+E10+D10</f>
        <v>43</v>
      </c>
      <c r="F11" s="18" t="s">
        <v>13</v>
      </c>
      <c r="G11" s="18" t="s">
        <v>23</v>
      </c>
      <c r="H11" s="14" t="s">
        <v>24</v>
      </c>
    </row>
    <row r="12" spans="1:8" ht="60" x14ac:dyDescent="0.25">
      <c r="A12" s="15" t="s">
        <v>25</v>
      </c>
      <c r="B12" s="46"/>
      <c r="C12" s="39" t="s">
        <v>26</v>
      </c>
      <c r="D12" s="18">
        <v>28</v>
      </c>
      <c r="E12" s="18">
        <f t="shared" si="0"/>
        <v>71</v>
      </c>
      <c r="F12" s="18" t="s">
        <v>13</v>
      </c>
      <c r="G12" s="18" t="s">
        <v>27</v>
      </c>
      <c r="H12" s="19" t="s">
        <v>28</v>
      </c>
    </row>
    <row r="13" spans="1:8" ht="24" x14ac:dyDescent="0.25">
      <c r="A13" s="15" t="s">
        <v>29</v>
      </c>
      <c r="B13" s="15"/>
      <c r="C13" s="39" t="s">
        <v>30</v>
      </c>
      <c r="D13" s="18">
        <v>9</v>
      </c>
      <c r="E13" s="18">
        <f t="shared" si="0"/>
        <v>99</v>
      </c>
      <c r="F13" s="18" t="s">
        <v>13</v>
      </c>
      <c r="G13" s="18" t="s">
        <v>27</v>
      </c>
      <c r="H13" s="14" t="s">
        <v>31</v>
      </c>
    </row>
    <row r="14" spans="1:8" ht="24" x14ac:dyDescent="0.25">
      <c r="A14" s="15" t="s">
        <v>32</v>
      </c>
      <c r="B14" s="15"/>
      <c r="C14" s="39" t="s">
        <v>33</v>
      </c>
      <c r="D14" s="18">
        <v>30</v>
      </c>
      <c r="E14" s="18">
        <f t="shared" si="0"/>
        <v>108</v>
      </c>
      <c r="F14" s="18" t="s">
        <v>13</v>
      </c>
      <c r="G14" s="18" t="s">
        <v>27</v>
      </c>
      <c r="H14" s="14" t="s">
        <v>34</v>
      </c>
    </row>
    <row r="15" spans="1:8" ht="24" x14ac:dyDescent="0.25">
      <c r="A15" s="15" t="s">
        <v>35</v>
      </c>
      <c r="B15" s="15"/>
      <c r="C15" s="39" t="s">
        <v>36</v>
      </c>
      <c r="D15" s="18">
        <v>30</v>
      </c>
      <c r="E15" s="18">
        <f t="shared" si="0"/>
        <v>138</v>
      </c>
      <c r="F15" s="18" t="s">
        <v>13</v>
      </c>
      <c r="G15" s="18" t="s">
        <v>27</v>
      </c>
      <c r="H15" s="14" t="s">
        <v>34</v>
      </c>
    </row>
    <row r="16" spans="1:8" ht="24" x14ac:dyDescent="0.25">
      <c r="A16" s="15" t="s">
        <v>37</v>
      </c>
      <c r="B16" s="15"/>
      <c r="C16" s="39" t="s">
        <v>38</v>
      </c>
      <c r="D16" s="18">
        <v>8</v>
      </c>
      <c r="E16" s="18">
        <f t="shared" si="0"/>
        <v>168</v>
      </c>
      <c r="F16" s="18" t="s">
        <v>39</v>
      </c>
      <c r="G16" s="18" t="s">
        <v>7</v>
      </c>
      <c r="H16" s="14" t="s">
        <v>40</v>
      </c>
    </row>
    <row r="17" spans="1:8" x14ac:dyDescent="0.25">
      <c r="A17" s="15" t="s">
        <v>41</v>
      </c>
      <c r="B17" s="15"/>
      <c r="C17" s="39" t="s">
        <v>42</v>
      </c>
      <c r="D17" s="18">
        <v>1</v>
      </c>
      <c r="E17" s="18">
        <f>+E16+D16</f>
        <v>176</v>
      </c>
      <c r="F17" s="18" t="s">
        <v>13</v>
      </c>
      <c r="G17" s="18" t="s">
        <v>7</v>
      </c>
      <c r="H17" s="14" t="s">
        <v>43</v>
      </c>
    </row>
    <row r="18" spans="1:8" ht="72" customHeight="1" x14ac:dyDescent="0.25">
      <c r="A18" s="15" t="s">
        <v>44</v>
      </c>
      <c r="B18" s="15"/>
      <c r="C18" s="39" t="s">
        <v>45</v>
      </c>
      <c r="D18" s="18">
        <v>3</v>
      </c>
      <c r="E18" s="18">
        <f t="shared" si="0"/>
        <v>177</v>
      </c>
      <c r="F18" s="18" t="s">
        <v>13</v>
      </c>
      <c r="G18" s="18" t="s">
        <v>7</v>
      </c>
      <c r="H18" s="14" t="s">
        <v>46</v>
      </c>
    </row>
    <row r="19" spans="1:8" ht="142.5" customHeight="1" x14ac:dyDescent="0.25">
      <c r="A19" s="15" t="s">
        <v>47</v>
      </c>
      <c r="B19" s="15"/>
      <c r="C19" s="39" t="s">
        <v>48</v>
      </c>
      <c r="D19" s="18">
        <v>1</v>
      </c>
      <c r="E19" s="18">
        <f t="shared" si="0"/>
        <v>180</v>
      </c>
      <c r="F19" s="18" t="s">
        <v>13</v>
      </c>
      <c r="G19" s="18" t="s">
        <v>7</v>
      </c>
      <c r="H19" s="14" t="s">
        <v>49</v>
      </c>
    </row>
    <row r="20" spans="1:8" ht="48" x14ac:dyDescent="0.25">
      <c r="A20" s="15" t="s">
        <v>50</v>
      </c>
      <c r="B20" s="15"/>
      <c r="C20" s="39" t="s">
        <v>51</v>
      </c>
      <c r="D20" s="18">
        <v>3</v>
      </c>
      <c r="E20" s="18">
        <f t="shared" si="0"/>
        <v>181</v>
      </c>
      <c r="F20" s="18" t="s">
        <v>13</v>
      </c>
      <c r="G20" s="18" t="s">
        <v>7</v>
      </c>
      <c r="H20" s="14" t="s">
        <v>52</v>
      </c>
    </row>
    <row r="21" spans="1:8" ht="24" x14ac:dyDescent="0.25">
      <c r="A21" s="15" t="s">
        <v>53</v>
      </c>
      <c r="B21" s="15"/>
      <c r="C21" s="39" t="s">
        <v>54</v>
      </c>
      <c r="D21" s="18">
        <v>3</v>
      </c>
      <c r="E21" s="18">
        <f t="shared" si="0"/>
        <v>184</v>
      </c>
      <c r="F21" s="18" t="s">
        <v>13</v>
      </c>
      <c r="G21" s="18" t="s">
        <v>7</v>
      </c>
      <c r="H21" s="14" t="s">
        <v>55</v>
      </c>
    </row>
    <row r="22" spans="1:8" ht="94.5" customHeight="1" x14ac:dyDescent="0.25">
      <c r="A22" s="15" t="s">
        <v>56</v>
      </c>
      <c r="B22" s="15"/>
      <c r="C22" s="39" t="s">
        <v>57</v>
      </c>
      <c r="D22" s="18">
        <v>6</v>
      </c>
      <c r="E22" s="18">
        <f>+E21+D21</f>
        <v>187</v>
      </c>
      <c r="F22" s="18" t="s">
        <v>13</v>
      </c>
      <c r="G22" s="18" t="s">
        <v>7</v>
      </c>
      <c r="H22" s="19" t="s">
        <v>58</v>
      </c>
    </row>
    <row r="23" spans="1:8" ht="149.25" customHeight="1" x14ac:dyDescent="0.25">
      <c r="A23" s="15" t="s">
        <v>59</v>
      </c>
      <c r="B23" s="15"/>
      <c r="C23" s="17" t="s">
        <v>60</v>
      </c>
      <c r="D23" s="18">
        <v>2</v>
      </c>
      <c r="E23" s="18">
        <f t="shared" si="0"/>
        <v>193</v>
      </c>
      <c r="F23" s="18" t="s">
        <v>13</v>
      </c>
      <c r="G23" s="18" t="s">
        <v>7</v>
      </c>
      <c r="H23" s="19" t="s">
        <v>61</v>
      </c>
    </row>
    <row r="24" spans="1:8" ht="36" x14ac:dyDescent="0.25">
      <c r="A24" s="15" t="s">
        <v>62</v>
      </c>
      <c r="B24" s="16" t="s">
        <v>11</v>
      </c>
      <c r="C24" s="17" t="s">
        <v>63</v>
      </c>
      <c r="D24" s="18">
        <v>6</v>
      </c>
      <c r="E24" s="18">
        <f t="shared" si="0"/>
        <v>195</v>
      </c>
      <c r="F24" s="18" t="s">
        <v>13</v>
      </c>
      <c r="G24" s="18" t="s">
        <v>7</v>
      </c>
      <c r="H24" s="19" t="s">
        <v>64</v>
      </c>
    </row>
    <row r="25" spans="1:8" s="5" customFormat="1" ht="24" x14ac:dyDescent="0.25">
      <c r="A25" s="15" t="s">
        <v>65</v>
      </c>
      <c r="B25" s="16" t="s">
        <v>11</v>
      </c>
      <c r="C25" s="17" t="s">
        <v>66</v>
      </c>
      <c r="D25" s="18">
        <v>6</v>
      </c>
      <c r="E25" s="18">
        <f t="shared" si="0"/>
        <v>201</v>
      </c>
      <c r="F25" s="18" t="s">
        <v>13</v>
      </c>
      <c r="G25" s="18" t="s">
        <v>7</v>
      </c>
      <c r="H25" s="19" t="s">
        <v>67</v>
      </c>
    </row>
    <row r="26" spans="1:8" s="5" customFormat="1" x14ac:dyDescent="0.25">
      <c r="A26" s="72"/>
      <c r="B26" s="20"/>
      <c r="C26" s="21"/>
      <c r="D26" s="22"/>
      <c r="E26" s="22"/>
      <c r="F26" s="20"/>
      <c r="G26" s="22"/>
      <c r="H26" s="23"/>
    </row>
    <row r="27" spans="1:8" s="5" customFormat="1" x14ac:dyDescent="0.25">
      <c r="A27" s="20"/>
      <c r="B27" s="24"/>
      <c r="C27" s="25"/>
      <c r="D27" s="22"/>
      <c r="E27" s="22"/>
      <c r="F27" s="22"/>
      <c r="G27" s="22"/>
      <c r="H27" s="26"/>
    </row>
    <row r="28" spans="1:8" s="5" customFormat="1" ht="15.75" x14ac:dyDescent="0.25">
      <c r="A28" s="67" t="s">
        <v>68</v>
      </c>
      <c r="B28" s="24"/>
      <c r="C28" s="13"/>
      <c r="D28" s="13"/>
      <c r="E28" s="13"/>
      <c r="F28" s="13"/>
      <c r="G28" s="13"/>
      <c r="H28" s="26"/>
    </row>
    <row r="29" spans="1:8" ht="132" x14ac:dyDescent="0.25">
      <c r="A29" s="15" t="s">
        <v>69</v>
      </c>
      <c r="B29" s="16" t="s">
        <v>11</v>
      </c>
      <c r="C29" s="39" t="s">
        <v>12</v>
      </c>
      <c r="D29" s="18">
        <v>20</v>
      </c>
      <c r="E29" s="18">
        <v>1</v>
      </c>
      <c r="F29" s="18" t="s">
        <v>13</v>
      </c>
      <c r="G29" s="18" t="s">
        <v>7</v>
      </c>
      <c r="H29" s="14" t="s">
        <v>14</v>
      </c>
    </row>
    <row r="30" spans="1:8" ht="168" x14ac:dyDescent="0.25">
      <c r="A30" s="15" t="s">
        <v>70</v>
      </c>
      <c r="B30" s="75"/>
      <c r="C30" s="39" t="s">
        <v>71</v>
      </c>
      <c r="D30" s="40">
        <v>2</v>
      </c>
      <c r="E30" s="18">
        <f>D29+E29</f>
        <v>21</v>
      </c>
      <c r="F30" s="40" t="s">
        <v>13</v>
      </c>
      <c r="G30" s="18" t="s">
        <v>7</v>
      </c>
      <c r="H30" s="14" t="s">
        <v>72</v>
      </c>
    </row>
    <row r="31" spans="1:8" ht="24" x14ac:dyDescent="0.25">
      <c r="A31" s="47" t="s">
        <v>73</v>
      </c>
      <c r="B31" s="75"/>
      <c r="C31" s="48" t="s">
        <v>74</v>
      </c>
      <c r="D31" s="40">
        <v>1</v>
      </c>
      <c r="E31" s="49">
        <f t="shared" ref="E31:E78" si="1">D30+E30</f>
        <v>23</v>
      </c>
      <c r="F31" s="40" t="s">
        <v>13</v>
      </c>
      <c r="G31" s="18" t="s">
        <v>7</v>
      </c>
      <c r="H31" s="14" t="s">
        <v>75</v>
      </c>
    </row>
    <row r="32" spans="1:8" ht="25.5" x14ac:dyDescent="0.25">
      <c r="A32" s="15" t="s">
        <v>76</v>
      </c>
      <c r="B32" s="75"/>
      <c r="C32" s="39" t="s">
        <v>77</v>
      </c>
      <c r="D32" s="40">
        <v>8</v>
      </c>
      <c r="E32" s="49">
        <f t="shared" si="1"/>
        <v>24</v>
      </c>
      <c r="F32" s="40" t="s">
        <v>39</v>
      </c>
      <c r="G32" s="18" t="s">
        <v>7</v>
      </c>
      <c r="H32" s="14" t="s">
        <v>78</v>
      </c>
    </row>
    <row r="33" spans="1:9" ht="25.5" x14ac:dyDescent="0.25">
      <c r="A33" s="15" t="s">
        <v>79</v>
      </c>
      <c r="B33" s="75"/>
      <c r="C33" s="39" t="s">
        <v>80</v>
      </c>
      <c r="D33" s="40">
        <v>8</v>
      </c>
      <c r="E33" s="49">
        <f t="shared" si="1"/>
        <v>32</v>
      </c>
      <c r="F33" s="40" t="s">
        <v>39</v>
      </c>
      <c r="G33" s="18" t="s">
        <v>7</v>
      </c>
      <c r="H33" s="14" t="s">
        <v>81</v>
      </c>
    </row>
    <row r="34" spans="1:9" ht="25.5" x14ac:dyDescent="0.25">
      <c r="A34" s="15" t="s">
        <v>82</v>
      </c>
      <c r="B34" s="75"/>
      <c r="C34" s="39" t="s">
        <v>83</v>
      </c>
      <c r="D34" s="40">
        <v>8</v>
      </c>
      <c r="E34" s="49">
        <f t="shared" si="1"/>
        <v>40</v>
      </c>
      <c r="F34" s="40" t="s">
        <v>39</v>
      </c>
      <c r="G34" s="18" t="s">
        <v>7</v>
      </c>
      <c r="H34" s="14" t="s">
        <v>84</v>
      </c>
    </row>
    <row r="35" spans="1:9" ht="168" x14ac:dyDescent="0.25">
      <c r="A35" s="15" t="s">
        <v>85</v>
      </c>
      <c r="B35" s="75"/>
      <c r="C35" s="39" t="s">
        <v>86</v>
      </c>
      <c r="D35" s="40">
        <v>1</v>
      </c>
      <c r="E35" s="49">
        <f t="shared" si="1"/>
        <v>48</v>
      </c>
      <c r="F35" s="40" t="s">
        <v>13</v>
      </c>
      <c r="G35" s="18" t="s">
        <v>7</v>
      </c>
      <c r="H35" s="31" t="s">
        <v>87</v>
      </c>
      <c r="I35" s="2" t="s">
        <v>88</v>
      </c>
    </row>
    <row r="36" spans="1:9" ht="24" x14ac:dyDescent="0.25">
      <c r="A36" s="15" t="s">
        <v>89</v>
      </c>
      <c r="B36" s="75"/>
      <c r="C36" s="39" t="s">
        <v>90</v>
      </c>
      <c r="D36" s="40">
        <v>6</v>
      </c>
      <c r="E36" s="49">
        <f t="shared" si="1"/>
        <v>49</v>
      </c>
      <c r="F36" s="40" t="s">
        <v>1</v>
      </c>
      <c r="G36" s="18" t="s">
        <v>7</v>
      </c>
      <c r="H36" s="14" t="s">
        <v>91</v>
      </c>
    </row>
    <row r="37" spans="1:9" x14ac:dyDescent="0.25">
      <c r="A37" s="15" t="s">
        <v>92</v>
      </c>
      <c r="B37" s="75"/>
      <c r="C37" s="39" t="s">
        <v>93</v>
      </c>
      <c r="D37" s="40">
        <v>15</v>
      </c>
      <c r="E37" s="49">
        <f t="shared" si="1"/>
        <v>55</v>
      </c>
      <c r="F37" s="40" t="s">
        <v>13</v>
      </c>
      <c r="G37" s="18" t="s">
        <v>27</v>
      </c>
      <c r="H37" s="14" t="s">
        <v>94</v>
      </c>
    </row>
    <row r="38" spans="1:9" ht="36" x14ac:dyDescent="0.25">
      <c r="A38" s="15" t="s">
        <v>95</v>
      </c>
      <c r="B38" s="75"/>
      <c r="C38" s="39" t="s">
        <v>96</v>
      </c>
      <c r="D38" s="40">
        <v>6</v>
      </c>
      <c r="E38" s="49">
        <f>D37+E37</f>
        <v>70</v>
      </c>
      <c r="F38" s="40" t="s">
        <v>13</v>
      </c>
      <c r="G38" s="18" t="s">
        <v>23</v>
      </c>
      <c r="H38" s="14" t="s">
        <v>97</v>
      </c>
    </row>
    <row r="39" spans="1:9" ht="84" x14ac:dyDescent="0.25">
      <c r="A39" s="15" t="s">
        <v>98</v>
      </c>
      <c r="B39" s="75"/>
      <c r="C39" s="39" t="s">
        <v>99</v>
      </c>
      <c r="D39" s="40">
        <v>1</v>
      </c>
      <c r="E39" s="49">
        <f t="shared" si="1"/>
        <v>76</v>
      </c>
      <c r="F39" s="40" t="s">
        <v>13</v>
      </c>
      <c r="G39" s="18" t="s">
        <v>23</v>
      </c>
      <c r="H39" s="14" t="s">
        <v>100</v>
      </c>
    </row>
    <row r="40" spans="1:9" ht="63" customHeight="1" x14ac:dyDescent="0.25">
      <c r="A40" s="15" t="s">
        <v>101</v>
      </c>
      <c r="B40" s="75"/>
      <c r="C40" s="39" t="s">
        <v>102</v>
      </c>
      <c r="D40" s="40">
        <v>1</v>
      </c>
      <c r="E40" s="49">
        <f t="shared" si="1"/>
        <v>77</v>
      </c>
      <c r="F40" s="40" t="s">
        <v>13</v>
      </c>
      <c r="G40" s="18" t="s">
        <v>7</v>
      </c>
      <c r="H40" s="14" t="s">
        <v>103</v>
      </c>
    </row>
    <row r="41" spans="1:9" ht="194.25" customHeight="1" x14ac:dyDescent="0.25">
      <c r="A41" s="15" t="s">
        <v>104</v>
      </c>
      <c r="B41" s="75"/>
      <c r="C41" s="39" t="s">
        <v>105</v>
      </c>
      <c r="D41" s="40">
        <v>2</v>
      </c>
      <c r="E41" s="49">
        <f t="shared" si="1"/>
        <v>78</v>
      </c>
      <c r="F41" s="40" t="s">
        <v>13</v>
      </c>
      <c r="G41" s="18" t="s">
        <v>7</v>
      </c>
      <c r="H41" s="14" t="s">
        <v>106</v>
      </c>
    </row>
    <row r="42" spans="1:9" x14ac:dyDescent="0.25">
      <c r="A42" s="15" t="s">
        <v>107</v>
      </c>
      <c r="B42" s="75"/>
      <c r="C42" s="39" t="s">
        <v>108</v>
      </c>
      <c r="D42" s="40">
        <v>2</v>
      </c>
      <c r="E42" s="49">
        <f t="shared" si="1"/>
        <v>80</v>
      </c>
      <c r="F42" s="40" t="s">
        <v>13</v>
      </c>
      <c r="G42" s="18" t="s">
        <v>7</v>
      </c>
      <c r="H42" s="14" t="s">
        <v>109</v>
      </c>
    </row>
    <row r="43" spans="1:9" x14ac:dyDescent="0.25">
      <c r="A43" s="15" t="s">
        <v>110</v>
      </c>
      <c r="B43" s="75"/>
      <c r="C43" s="39" t="s">
        <v>111</v>
      </c>
      <c r="D43" s="40">
        <v>2</v>
      </c>
      <c r="E43" s="49">
        <f t="shared" si="1"/>
        <v>82</v>
      </c>
      <c r="F43" s="40" t="s">
        <v>13</v>
      </c>
      <c r="G43" s="18" t="s">
        <v>7</v>
      </c>
      <c r="H43" s="14" t="s">
        <v>109</v>
      </c>
    </row>
    <row r="44" spans="1:9" x14ac:dyDescent="0.25">
      <c r="A44" s="15" t="s">
        <v>112</v>
      </c>
      <c r="B44" s="75"/>
      <c r="C44" s="39" t="s">
        <v>113</v>
      </c>
      <c r="D44" s="40">
        <v>2</v>
      </c>
      <c r="E44" s="49">
        <f t="shared" si="1"/>
        <v>84</v>
      </c>
      <c r="F44" s="40" t="s">
        <v>13</v>
      </c>
      <c r="G44" s="18" t="s">
        <v>7</v>
      </c>
      <c r="H44" s="14" t="s">
        <v>109</v>
      </c>
    </row>
    <row r="45" spans="1:9" x14ac:dyDescent="0.25">
      <c r="A45" s="15" t="s">
        <v>114</v>
      </c>
      <c r="B45" s="75"/>
      <c r="C45" s="39" t="s">
        <v>115</v>
      </c>
      <c r="D45" s="40">
        <v>2</v>
      </c>
      <c r="E45" s="49">
        <f t="shared" si="1"/>
        <v>86</v>
      </c>
      <c r="F45" s="40" t="s">
        <v>13</v>
      </c>
      <c r="G45" s="18" t="s">
        <v>7</v>
      </c>
      <c r="H45" s="14" t="s">
        <v>109</v>
      </c>
    </row>
    <row r="46" spans="1:9" x14ac:dyDescent="0.25">
      <c r="A46" s="15" t="s">
        <v>116</v>
      </c>
      <c r="B46" s="75"/>
      <c r="C46" s="39" t="s">
        <v>117</v>
      </c>
      <c r="D46" s="40">
        <v>2</v>
      </c>
      <c r="E46" s="49">
        <f t="shared" si="1"/>
        <v>88</v>
      </c>
      <c r="F46" s="40" t="s">
        <v>13</v>
      </c>
      <c r="G46" s="18" t="s">
        <v>7</v>
      </c>
      <c r="H46" s="14" t="s">
        <v>109</v>
      </c>
    </row>
    <row r="47" spans="1:9" x14ac:dyDescent="0.25">
      <c r="A47" s="15" t="s">
        <v>118</v>
      </c>
      <c r="B47" s="75"/>
      <c r="C47" s="39" t="s">
        <v>119</v>
      </c>
      <c r="D47" s="40">
        <v>2</v>
      </c>
      <c r="E47" s="49">
        <f t="shared" si="1"/>
        <v>90</v>
      </c>
      <c r="F47" s="40" t="s">
        <v>13</v>
      </c>
      <c r="G47" s="18" t="s">
        <v>7</v>
      </c>
      <c r="H47" s="14" t="s">
        <v>109</v>
      </c>
    </row>
    <row r="48" spans="1:9" x14ac:dyDescent="0.25">
      <c r="A48" s="15" t="s">
        <v>120</v>
      </c>
      <c r="B48" s="75"/>
      <c r="C48" s="39" t="s">
        <v>121</v>
      </c>
      <c r="D48" s="40">
        <v>2</v>
      </c>
      <c r="E48" s="49">
        <f t="shared" si="1"/>
        <v>92</v>
      </c>
      <c r="F48" s="40" t="s">
        <v>13</v>
      </c>
      <c r="G48" s="18" t="s">
        <v>7</v>
      </c>
      <c r="H48" s="14" t="s">
        <v>109</v>
      </c>
    </row>
    <row r="49" spans="1:8" x14ac:dyDescent="0.25">
      <c r="A49" s="15" t="s">
        <v>122</v>
      </c>
      <c r="B49" s="75"/>
      <c r="C49" s="39" t="s">
        <v>123</v>
      </c>
      <c r="D49" s="40">
        <v>2</v>
      </c>
      <c r="E49" s="49">
        <f t="shared" si="1"/>
        <v>94</v>
      </c>
      <c r="F49" s="40" t="s">
        <v>13</v>
      </c>
      <c r="G49" s="18" t="s">
        <v>7</v>
      </c>
      <c r="H49" s="14" t="s">
        <v>109</v>
      </c>
    </row>
    <row r="50" spans="1:8" x14ac:dyDescent="0.25">
      <c r="A50" s="15" t="s">
        <v>124</v>
      </c>
      <c r="B50" s="75"/>
      <c r="C50" s="39" t="s">
        <v>125</v>
      </c>
      <c r="D50" s="40">
        <v>2</v>
      </c>
      <c r="E50" s="49">
        <f t="shared" si="1"/>
        <v>96</v>
      </c>
      <c r="F50" s="40" t="s">
        <v>13</v>
      </c>
      <c r="G50" s="18" t="s">
        <v>7</v>
      </c>
      <c r="H50" s="14" t="s">
        <v>109</v>
      </c>
    </row>
    <row r="51" spans="1:8" ht="104.25" customHeight="1" x14ac:dyDescent="0.25">
      <c r="A51" s="15" t="s">
        <v>126</v>
      </c>
      <c r="B51" s="75"/>
      <c r="C51" s="39" t="s">
        <v>127</v>
      </c>
      <c r="D51" s="40">
        <v>1</v>
      </c>
      <c r="E51" s="49">
        <f t="shared" si="1"/>
        <v>98</v>
      </c>
      <c r="F51" s="40" t="s">
        <v>13</v>
      </c>
      <c r="G51" s="18" t="s">
        <v>7</v>
      </c>
      <c r="H51" s="14" t="s">
        <v>128</v>
      </c>
    </row>
    <row r="52" spans="1:8" ht="114.75" customHeight="1" x14ac:dyDescent="0.25">
      <c r="A52" s="15" t="s">
        <v>129</v>
      </c>
      <c r="B52" s="75"/>
      <c r="C52" s="39" t="s">
        <v>130</v>
      </c>
      <c r="D52" s="40">
        <v>1</v>
      </c>
      <c r="E52" s="49">
        <f t="shared" si="1"/>
        <v>99</v>
      </c>
      <c r="F52" s="40" t="s">
        <v>13</v>
      </c>
      <c r="G52" s="18" t="s">
        <v>27</v>
      </c>
      <c r="H52" s="14" t="s">
        <v>131</v>
      </c>
    </row>
    <row r="53" spans="1:8" ht="48" x14ac:dyDescent="0.25">
      <c r="A53" s="15" t="s">
        <v>132</v>
      </c>
      <c r="B53" s="75"/>
      <c r="C53" s="39" t="s">
        <v>133</v>
      </c>
      <c r="D53" s="40">
        <v>1</v>
      </c>
      <c r="E53" s="49">
        <f t="shared" si="1"/>
        <v>100</v>
      </c>
      <c r="F53" s="40" t="s">
        <v>13</v>
      </c>
      <c r="G53" s="18" t="s">
        <v>7</v>
      </c>
      <c r="H53" s="14" t="s">
        <v>134</v>
      </c>
    </row>
    <row r="54" spans="1:8" ht="27.75" customHeight="1" x14ac:dyDescent="0.25">
      <c r="A54" s="15" t="s">
        <v>135</v>
      </c>
      <c r="B54" s="75"/>
      <c r="C54" s="39" t="s">
        <v>136</v>
      </c>
      <c r="D54" s="40">
        <v>12</v>
      </c>
      <c r="E54" s="49">
        <f t="shared" si="1"/>
        <v>101</v>
      </c>
      <c r="F54" s="40" t="s">
        <v>13</v>
      </c>
      <c r="G54" s="18" t="s">
        <v>27</v>
      </c>
      <c r="H54" s="14" t="s">
        <v>137</v>
      </c>
    </row>
    <row r="55" spans="1:8" ht="63.75" customHeight="1" x14ac:dyDescent="0.25">
      <c r="A55" s="15" t="s">
        <v>138</v>
      </c>
      <c r="B55" s="75"/>
      <c r="C55" s="39" t="s">
        <v>139</v>
      </c>
      <c r="D55" s="40">
        <v>3</v>
      </c>
      <c r="E55" s="49">
        <f t="shared" si="1"/>
        <v>113</v>
      </c>
      <c r="F55" s="40" t="s">
        <v>1</v>
      </c>
      <c r="G55" s="18" t="s">
        <v>7</v>
      </c>
      <c r="H55" s="14" t="s">
        <v>140</v>
      </c>
    </row>
    <row r="56" spans="1:8" ht="156" x14ac:dyDescent="0.25">
      <c r="A56" s="15" t="s">
        <v>141</v>
      </c>
      <c r="B56" s="75"/>
      <c r="C56" s="39" t="s">
        <v>142</v>
      </c>
      <c r="D56" s="40">
        <v>2</v>
      </c>
      <c r="E56" s="49">
        <f t="shared" si="1"/>
        <v>116</v>
      </c>
      <c r="F56" s="40" t="s">
        <v>13</v>
      </c>
      <c r="G56" s="18" t="s">
        <v>7</v>
      </c>
      <c r="H56" s="14" t="s">
        <v>143</v>
      </c>
    </row>
    <row r="57" spans="1:8" ht="81" customHeight="1" x14ac:dyDescent="0.25">
      <c r="A57" s="15" t="s">
        <v>144</v>
      </c>
      <c r="B57" s="50"/>
      <c r="C57" s="39" t="s">
        <v>145</v>
      </c>
      <c r="D57" s="40">
        <v>3</v>
      </c>
      <c r="E57" s="49">
        <f t="shared" si="1"/>
        <v>118</v>
      </c>
      <c r="F57" s="40" t="s">
        <v>13</v>
      </c>
      <c r="G57" s="18" t="s">
        <v>23</v>
      </c>
      <c r="H57" s="14" t="s">
        <v>146</v>
      </c>
    </row>
    <row r="58" spans="1:8" ht="83.25" customHeight="1" x14ac:dyDescent="0.25">
      <c r="A58" s="15" t="s">
        <v>147</v>
      </c>
      <c r="B58" s="50"/>
      <c r="C58" s="39" t="s">
        <v>148</v>
      </c>
      <c r="D58" s="40">
        <v>3</v>
      </c>
      <c r="E58" s="49">
        <f t="shared" si="1"/>
        <v>121</v>
      </c>
      <c r="F58" s="40" t="s">
        <v>13</v>
      </c>
      <c r="G58" s="18" t="s">
        <v>23</v>
      </c>
      <c r="H58" s="14" t="s">
        <v>149</v>
      </c>
    </row>
    <row r="59" spans="1:8" ht="72" x14ac:dyDescent="0.25">
      <c r="A59" s="15" t="s">
        <v>150</v>
      </c>
      <c r="B59" s="75"/>
      <c r="C59" s="39" t="s">
        <v>151</v>
      </c>
      <c r="D59" s="40">
        <v>6</v>
      </c>
      <c r="E59" s="49">
        <f t="shared" si="1"/>
        <v>124</v>
      </c>
      <c r="F59" s="40" t="s">
        <v>13</v>
      </c>
      <c r="G59" s="18" t="s">
        <v>23</v>
      </c>
      <c r="H59" s="14" t="s">
        <v>152</v>
      </c>
    </row>
    <row r="60" spans="1:8" ht="113.25" customHeight="1" x14ac:dyDescent="0.25">
      <c r="A60" s="15" t="s">
        <v>153</v>
      </c>
      <c r="B60" s="75"/>
      <c r="C60" s="39" t="s">
        <v>154</v>
      </c>
      <c r="D60" s="40">
        <v>7</v>
      </c>
      <c r="E60" s="49">
        <f t="shared" si="1"/>
        <v>130</v>
      </c>
      <c r="F60" s="40" t="s">
        <v>13</v>
      </c>
      <c r="G60" s="18" t="s">
        <v>7</v>
      </c>
      <c r="H60" s="14" t="s">
        <v>155</v>
      </c>
    </row>
    <row r="61" spans="1:8" x14ac:dyDescent="0.25">
      <c r="A61" s="15" t="s">
        <v>156</v>
      </c>
      <c r="B61" s="75"/>
      <c r="C61" s="39" t="s">
        <v>157</v>
      </c>
      <c r="D61" s="40">
        <v>7</v>
      </c>
      <c r="E61" s="49">
        <f t="shared" si="1"/>
        <v>137</v>
      </c>
      <c r="F61" s="40" t="s">
        <v>13</v>
      </c>
      <c r="G61" s="18" t="s">
        <v>23</v>
      </c>
      <c r="H61" s="14" t="s">
        <v>158</v>
      </c>
    </row>
    <row r="62" spans="1:8" x14ac:dyDescent="0.25">
      <c r="A62" s="15" t="s">
        <v>159</v>
      </c>
      <c r="B62" s="75"/>
      <c r="C62" s="39" t="s">
        <v>160</v>
      </c>
      <c r="D62" s="40">
        <v>7</v>
      </c>
      <c r="E62" s="49">
        <f t="shared" si="1"/>
        <v>144</v>
      </c>
      <c r="F62" s="40" t="s">
        <v>13</v>
      </c>
      <c r="G62" s="18" t="s">
        <v>23</v>
      </c>
      <c r="H62" s="14" t="s">
        <v>158</v>
      </c>
    </row>
    <row r="63" spans="1:8" x14ac:dyDescent="0.25">
      <c r="A63" s="15" t="s">
        <v>161</v>
      </c>
      <c r="B63" s="75"/>
      <c r="C63" s="39" t="s">
        <v>162</v>
      </c>
      <c r="D63" s="40">
        <v>7</v>
      </c>
      <c r="E63" s="49">
        <f t="shared" si="1"/>
        <v>151</v>
      </c>
      <c r="F63" s="40" t="s">
        <v>13</v>
      </c>
      <c r="G63" s="18" t="s">
        <v>23</v>
      </c>
      <c r="H63" s="14" t="s">
        <v>158</v>
      </c>
    </row>
    <row r="64" spans="1:8" x14ac:dyDescent="0.25">
      <c r="A64" s="15" t="s">
        <v>163</v>
      </c>
      <c r="B64" s="75"/>
      <c r="C64" s="39" t="s">
        <v>164</v>
      </c>
      <c r="D64" s="40">
        <v>7</v>
      </c>
      <c r="E64" s="49">
        <f t="shared" si="1"/>
        <v>158</v>
      </c>
      <c r="F64" s="40" t="s">
        <v>13</v>
      </c>
      <c r="G64" s="18" t="s">
        <v>23</v>
      </c>
      <c r="H64" s="14" t="s">
        <v>158</v>
      </c>
    </row>
    <row r="65" spans="1:8" x14ac:dyDescent="0.25">
      <c r="A65" s="15" t="s">
        <v>165</v>
      </c>
      <c r="B65" s="75"/>
      <c r="C65" s="39" t="s">
        <v>166</v>
      </c>
      <c r="D65" s="40">
        <v>7</v>
      </c>
      <c r="E65" s="49">
        <f t="shared" si="1"/>
        <v>165</v>
      </c>
      <c r="F65" s="40" t="s">
        <v>13</v>
      </c>
      <c r="G65" s="18" t="s">
        <v>23</v>
      </c>
      <c r="H65" s="14" t="s">
        <v>158</v>
      </c>
    </row>
    <row r="66" spans="1:8" ht="36" x14ac:dyDescent="0.25">
      <c r="A66" s="15" t="s">
        <v>167</v>
      </c>
      <c r="B66" s="75"/>
      <c r="C66" s="39" t="s">
        <v>168</v>
      </c>
      <c r="D66" s="40">
        <v>8</v>
      </c>
      <c r="E66" s="49">
        <f t="shared" si="1"/>
        <v>172</v>
      </c>
      <c r="F66" s="40" t="s">
        <v>13</v>
      </c>
      <c r="G66" s="18" t="s">
        <v>27</v>
      </c>
      <c r="H66" s="14" t="s">
        <v>169</v>
      </c>
    </row>
    <row r="67" spans="1:8" x14ac:dyDescent="0.25">
      <c r="A67" s="15" t="s">
        <v>170</v>
      </c>
      <c r="B67" s="75"/>
      <c r="C67" s="39" t="s">
        <v>171</v>
      </c>
      <c r="D67" s="40">
        <v>8</v>
      </c>
      <c r="E67" s="49">
        <f t="shared" si="1"/>
        <v>180</v>
      </c>
      <c r="F67" s="40" t="s">
        <v>13</v>
      </c>
      <c r="G67" s="18" t="s">
        <v>27</v>
      </c>
      <c r="H67" s="14" t="s">
        <v>158</v>
      </c>
    </row>
    <row r="68" spans="1:8" x14ac:dyDescent="0.25">
      <c r="A68" s="15" t="s">
        <v>172</v>
      </c>
      <c r="B68" s="75"/>
      <c r="C68" s="39" t="s">
        <v>173</v>
      </c>
      <c r="D68" s="40">
        <v>8</v>
      </c>
      <c r="E68" s="49">
        <f t="shared" si="1"/>
        <v>188</v>
      </c>
      <c r="F68" s="40" t="s">
        <v>13</v>
      </c>
      <c r="G68" s="18" t="s">
        <v>27</v>
      </c>
      <c r="H68" s="14" t="s">
        <v>158</v>
      </c>
    </row>
    <row r="69" spans="1:8" x14ac:dyDescent="0.25">
      <c r="A69" s="15" t="s">
        <v>174</v>
      </c>
      <c r="B69" s="75"/>
      <c r="C69" s="39" t="s">
        <v>175</v>
      </c>
      <c r="D69" s="40">
        <v>8</v>
      </c>
      <c r="E69" s="49">
        <f t="shared" si="1"/>
        <v>196</v>
      </c>
      <c r="F69" s="40" t="s">
        <v>13</v>
      </c>
      <c r="G69" s="18" t="s">
        <v>27</v>
      </c>
      <c r="H69" s="14" t="s">
        <v>158</v>
      </c>
    </row>
    <row r="70" spans="1:8" x14ac:dyDescent="0.25">
      <c r="A70" s="15" t="s">
        <v>176</v>
      </c>
      <c r="B70" s="75"/>
      <c r="C70" s="39" t="s">
        <v>177</v>
      </c>
      <c r="D70" s="40">
        <v>8</v>
      </c>
      <c r="E70" s="49">
        <f t="shared" si="1"/>
        <v>204</v>
      </c>
      <c r="F70" s="40" t="s">
        <v>13</v>
      </c>
      <c r="G70" s="18" t="s">
        <v>27</v>
      </c>
      <c r="H70" s="14" t="s">
        <v>158</v>
      </c>
    </row>
    <row r="71" spans="1:8" x14ac:dyDescent="0.25">
      <c r="A71" s="15" t="s">
        <v>178</v>
      </c>
      <c r="B71" s="75"/>
      <c r="C71" s="39" t="s">
        <v>179</v>
      </c>
      <c r="D71" s="40">
        <v>8</v>
      </c>
      <c r="E71" s="49">
        <f t="shared" si="1"/>
        <v>212</v>
      </c>
      <c r="F71" s="40" t="s">
        <v>13</v>
      </c>
      <c r="G71" s="18" t="s">
        <v>27</v>
      </c>
      <c r="H71" s="14" t="s">
        <v>158</v>
      </c>
    </row>
    <row r="72" spans="1:8" x14ac:dyDescent="0.25">
      <c r="A72" s="15" t="s">
        <v>180</v>
      </c>
      <c r="B72" s="75"/>
      <c r="C72" s="39" t="s">
        <v>181</v>
      </c>
      <c r="D72" s="40">
        <v>8</v>
      </c>
      <c r="E72" s="49">
        <f t="shared" si="1"/>
        <v>220</v>
      </c>
      <c r="F72" s="40" t="s">
        <v>13</v>
      </c>
      <c r="G72" s="18" t="s">
        <v>27</v>
      </c>
      <c r="H72" s="14" t="s">
        <v>158</v>
      </c>
    </row>
    <row r="73" spans="1:8" x14ac:dyDescent="0.25">
      <c r="A73" s="15" t="s">
        <v>182</v>
      </c>
      <c r="B73" s="75"/>
      <c r="C73" s="39" t="s">
        <v>183</v>
      </c>
      <c r="D73" s="40">
        <v>8</v>
      </c>
      <c r="E73" s="49">
        <f t="shared" si="1"/>
        <v>228</v>
      </c>
      <c r="F73" s="40" t="s">
        <v>13</v>
      </c>
      <c r="G73" s="18" t="s">
        <v>27</v>
      </c>
      <c r="H73" s="14" t="s">
        <v>158</v>
      </c>
    </row>
    <row r="74" spans="1:8" x14ac:dyDescent="0.25">
      <c r="A74" s="15" t="s">
        <v>184</v>
      </c>
      <c r="B74" s="75"/>
      <c r="C74" s="39" t="s">
        <v>185</v>
      </c>
      <c r="D74" s="40">
        <v>8</v>
      </c>
      <c r="E74" s="49">
        <f t="shared" si="1"/>
        <v>236</v>
      </c>
      <c r="F74" s="40" t="s">
        <v>13</v>
      </c>
      <c r="G74" s="18" t="s">
        <v>27</v>
      </c>
      <c r="H74" s="14" t="s">
        <v>158</v>
      </c>
    </row>
    <row r="75" spans="1:8" x14ac:dyDescent="0.25">
      <c r="A75" s="15" t="s">
        <v>186</v>
      </c>
      <c r="B75" s="75"/>
      <c r="C75" s="39" t="s">
        <v>187</v>
      </c>
      <c r="D75" s="40">
        <v>8</v>
      </c>
      <c r="E75" s="49">
        <f t="shared" si="1"/>
        <v>244</v>
      </c>
      <c r="F75" s="40" t="s">
        <v>13</v>
      </c>
      <c r="G75" s="18" t="s">
        <v>27</v>
      </c>
      <c r="H75" s="14" t="s">
        <v>158</v>
      </c>
    </row>
    <row r="76" spans="1:8" x14ac:dyDescent="0.25">
      <c r="A76" s="15" t="s">
        <v>188</v>
      </c>
      <c r="B76" s="75"/>
      <c r="C76" s="39" t="s">
        <v>189</v>
      </c>
      <c r="D76" s="40">
        <v>8</v>
      </c>
      <c r="E76" s="49">
        <f t="shared" si="1"/>
        <v>252</v>
      </c>
      <c r="F76" s="40" t="s">
        <v>13</v>
      </c>
      <c r="G76" s="18" t="s">
        <v>27</v>
      </c>
      <c r="H76" s="14" t="s">
        <v>158</v>
      </c>
    </row>
    <row r="77" spans="1:8" ht="36" x14ac:dyDescent="0.25">
      <c r="A77" s="15" t="s">
        <v>190</v>
      </c>
      <c r="B77" s="15" t="s">
        <v>11</v>
      </c>
      <c r="C77" s="39" t="s">
        <v>63</v>
      </c>
      <c r="D77" s="18">
        <v>6</v>
      </c>
      <c r="E77" s="49">
        <f t="shared" si="1"/>
        <v>260</v>
      </c>
      <c r="F77" s="18" t="s">
        <v>13</v>
      </c>
      <c r="G77" s="18" t="s">
        <v>7</v>
      </c>
      <c r="H77" s="19" t="s">
        <v>191</v>
      </c>
    </row>
    <row r="78" spans="1:8" ht="24" x14ac:dyDescent="0.25">
      <c r="A78" s="15" t="s">
        <v>192</v>
      </c>
      <c r="B78" s="15" t="s">
        <v>11</v>
      </c>
      <c r="C78" s="39" t="s">
        <v>66</v>
      </c>
      <c r="D78" s="18">
        <v>6</v>
      </c>
      <c r="E78" s="49">
        <f t="shared" si="1"/>
        <v>266</v>
      </c>
      <c r="F78" s="18" t="s">
        <v>13</v>
      </c>
      <c r="G78" s="18" t="s">
        <v>7</v>
      </c>
      <c r="H78" s="19" t="s">
        <v>67</v>
      </c>
    </row>
    <row r="79" spans="1:8" x14ac:dyDescent="0.25">
      <c r="A79" s="72"/>
      <c r="B79" s="76"/>
      <c r="C79" s="27"/>
      <c r="D79" s="28"/>
      <c r="E79" s="29"/>
      <c r="F79" s="28"/>
      <c r="G79" s="29"/>
      <c r="H79" s="30"/>
    </row>
    <row r="80" spans="1:8" x14ac:dyDescent="0.25">
      <c r="A80" s="20"/>
      <c r="B80" s="76"/>
      <c r="C80" s="25"/>
      <c r="D80" s="28"/>
      <c r="E80" s="22"/>
      <c r="F80" s="28"/>
      <c r="G80" s="29"/>
      <c r="H80" s="30"/>
    </row>
    <row r="81" spans="1:8" ht="15.75" x14ac:dyDescent="0.25">
      <c r="A81" s="67" t="s">
        <v>193</v>
      </c>
      <c r="B81" s="24"/>
      <c r="C81" s="13"/>
      <c r="D81" s="13"/>
      <c r="E81" s="13"/>
      <c r="F81" s="13"/>
      <c r="G81" s="13"/>
      <c r="H81" s="26"/>
    </row>
    <row r="82" spans="1:8" ht="132" x14ac:dyDescent="0.25">
      <c r="A82" s="15" t="s">
        <v>194</v>
      </c>
      <c r="B82" s="16" t="s">
        <v>11</v>
      </c>
      <c r="C82" s="39" t="s">
        <v>12</v>
      </c>
      <c r="D82" s="18">
        <v>20</v>
      </c>
      <c r="E82" s="18">
        <v>1</v>
      </c>
      <c r="F82" s="18" t="s">
        <v>13</v>
      </c>
      <c r="G82" s="18" t="s">
        <v>7</v>
      </c>
      <c r="H82" s="14" t="s">
        <v>14</v>
      </c>
    </row>
    <row r="83" spans="1:8" ht="30.75" customHeight="1" x14ac:dyDescent="0.25">
      <c r="A83" s="15" t="s">
        <v>195</v>
      </c>
      <c r="B83" s="16" t="s">
        <v>11</v>
      </c>
      <c r="C83" s="39" t="s">
        <v>196</v>
      </c>
      <c r="D83" s="18">
        <v>20</v>
      </c>
      <c r="E83" s="18">
        <f t="shared" ref="E83:E114" si="2">+D82+E82</f>
        <v>21</v>
      </c>
      <c r="F83" s="18" t="s">
        <v>13</v>
      </c>
      <c r="G83" s="18" t="s">
        <v>7</v>
      </c>
      <c r="H83" s="14" t="s">
        <v>197</v>
      </c>
    </row>
    <row r="84" spans="1:8" ht="36" x14ac:dyDescent="0.25">
      <c r="A84" s="15" t="s">
        <v>198</v>
      </c>
      <c r="B84" s="16"/>
      <c r="C84" s="39" t="s">
        <v>199</v>
      </c>
      <c r="D84" s="18">
        <v>1</v>
      </c>
      <c r="E84" s="18">
        <f t="shared" si="2"/>
        <v>41</v>
      </c>
      <c r="F84" s="18" t="s">
        <v>13</v>
      </c>
      <c r="G84" s="18" t="s">
        <v>7</v>
      </c>
      <c r="H84" s="14" t="s">
        <v>200</v>
      </c>
    </row>
    <row r="85" spans="1:8" ht="18.75" customHeight="1" x14ac:dyDescent="0.25">
      <c r="A85" s="15" t="s">
        <v>201</v>
      </c>
      <c r="B85" s="75"/>
      <c r="C85" s="39" t="s">
        <v>202</v>
      </c>
      <c r="D85" s="40">
        <v>8</v>
      </c>
      <c r="E85" s="18">
        <f t="shared" si="2"/>
        <v>42</v>
      </c>
      <c r="F85" s="40" t="s">
        <v>203</v>
      </c>
      <c r="G85" s="18" t="s">
        <v>7</v>
      </c>
      <c r="H85" s="14" t="s">
        <v>204</v>
      </c>
    </row>
    <row r="86" spans="1:8" ht="42.75" customHeight="1" x14ac:dyDescent="0.25">
      <c r="A86" s="15" t="s">
        <v>205</v>
      </c>
      <c r="B86" s="15"/>
      <c r="C86" s="39" t="s">
        <v>206</v>
      </c>
      <c r="D86" s="40">
        <v>3</v>
      </c>
      <c r="E86" s="18">
        <f t="shared" si="2"/>
        <v>50</v>
      </c>
      <c r="F86" s="40" t="s">
        <v>13</v>
      </c>
      <c r="G86" s="18" t="s">
        <v>7</v>
      </c>
      <c r="H86" s="14" t="s">
        <v>207</v>
      </c>
    </row>
    <row r="87" spans="1:8" ht="30.75" customHeight="1" x14ac:dyDescent="0.25">
      <c r="A87" s="15" t="s">
        <v>208</v>
      </c>
      <c r="B87" s="46"/>
      <c r="C87" s="39" t="s">
        <v>209</v>
      </c>
      <c r="D87" s="40">
        <v>3</v>
      </c>
      <c r="E87" s="18">
        <f t="shared" si="2"/>
        <v>53</v>
      </c>
      <c r="F87" s="40" t="s">
        <v>13</v>
      </c>
      <c r="G87" s="18" t="s">
        <v>27</v>
      </c>
      <c r="H87" s="14" t="s">
        <v>210</v>
      </c>
    </row>
    <row r="88" spans="1:8" ht="33.75" customHeight="1" x14ac:dyDescent="0.25">
      <c r="A88" s="15" t="s">
        <v>211</v>
      </c>
      <c r="B88" s="46"/>
      <c r="C88" s="39" t="s">
        <v>212</v>
      </c>
      <c r="D88" s="40">
        <v>3</v>
      </c>
      <c r="E88" s="18">
        <f t="shared" si="2"/>
        <v>56</v>
      </c>
      <c r="F88" s="40" t="s">
        <v>13</v>
      </c>
      <c r="G88" s="18" t="s">
        <v>27</v>
      </c>
      <c r="H88" s="14" t="s">
        <v>213</v>
      </c>
    </row>
    <row r="89" spans="1:8" ht="72" x14ac:dyDescent="0.25">
      <c r="A89" s="15" t="s">
        <v>214</v>
      </c>
      <c r="B89" s="75"/>
      <c r="C89" s="39" t="s">
        <v>215</v>
      </c>
      <c r="D89" s="40">
        <v>2</v>
      </c>
      <c r="E89" s="18">
        <f t="shared" si="2"/>
        <v>59</v>
      </c>
      <c r="F89" s="40" t="s">
        <v>1</v>
      </c>
      <c r="G89" s="18" t="s">
        <v>7</v>
      </c>
      <c r="H89" s="14" t="s">
        <v>216</v>
      </c>
    </row>
    <row r="90" spans="1:8" ht="24" x14ac:dyDescent="0.25">
      <c r="A90" s="15" t="s">
        <v>217</v>
      </c>
      <c r="B90" s="75"/>
      <c r="C90" s="39" t="s">
        <v>218</v>
      </c>
      <c r="D90" s="40">
        <v>1</v>
      </c>
      <c r="E90" s="18">
        <f t="shared" si="2"/>
        <v>61</v>
      </c>
      <c r="F90" s="40" t="s">
        <v>1</v>
      </c>
      <c r="G90" s="18" t="s">
        <v>7</v>
      </c>
      <c r="H90" s="14" t="s">
        <v>219</v>
      </c>
    </row>
    <row r="91" spans="1:8" ht="24" x14ac:dyDescent="0.25">
      <c r="A91" s="15" t="s">
        <v>220</v>
      </c>
      <c r="B91" s="75"/>
      <c r="C91" s="39" t="s">
        <v>221</v>
      </c>
      <c r="D91" s="40">
        <v>1</v>
      </c>
      <c r="E91" s="18">
        <f t="shared" si="2"/>
        <v>62</v>
      </c>
      <c r="F91" s="40" t="s">
        <v>1</v>
      </c>
      <c r="G91" s="18" t="s">
        <v>7</v>
      </c>
      <c r="H91" s="14" t="s">
        <v>219</v>
      </c>
    </row>
    <row r="92" spans="1:8" ht="24" x14ac:dyDescent="0.25">
      <c r="A92" s="15" t="s">
        <v>222</v>
      </c>
      <c r="B92" s="75"/>
      <c r="C92" s="39" t="s">
        <v>223</v>
      </c>
      <c r="D92" s="40">
        <v>2</v>
      </c>
      <c r="E92" s="18">
        <f t="shared" si="2"/>
        <v>63</v>
      </c>
      <c r="F92" s="40" t="s">
        <v>1</v>
      </c>
      <c r="G92" s="18" t="s">
        <v>7</v>
      </c>
      <c r="H92" s="14" t="s">
        <v>224</v>
      </c>
    </row>
    <row r="93" spans="1:8" ht="24" x14ac:dyDescent="0.25">
      <c r="A93" s="15" t="s">
        <v>225</v>
      </c>
      <c r="B93" s="75"/>
      <c r="C93" s="39" t="s">
        <v>226</v>
      </c>
      <c r="D93" s="40">
        <v>2</v>
      </c>
      <c r="E93" s="18">
        <f t="shared" si="2"/>
        <v>65</v>
      </c>
      <c r="F93" s="40" t="s">
        <v>1</v>
      </c>
      <c r="G93" s="18" t="s">
        <v>7</v>
      </c>
      <c r="H93" s="14" t="s">
        <v>227</v>
      </c>
    </row>
    <row r="94" spans="1:8" ht="24" x14ac:dyDescent="0.25">
      <c r="A94" s="15" t="s">
        <v>228</v>
      </c>
      <c r="B94" s="75"/>
      <c r="C94" s="39" t="s">
        <v>229</v>
      </c>
      <c r="D94" s="40">
        <v>2</v>
      </c>
      <c r="E94" s="18">
        <f t="shared" si="2"/>
        <v>67</v>
      </c>
      <c r="F94" s="40" t="s">
        <v>1</v>
      </c>
      <c r="G94" s="18" t="s">
        <v>7</v>
      </c>
      <c r="H94" s="14" t="s">
        <v>227</v>
      </c>
    </row>
    <row r="95" spans="1:8" ht="24" x14ac:dyDescent="0.25">
      <c r="A95" s="15" t="s">
        <v>230</v>
      </c>
      <c r="B95" s="75"/>
      <c r="C95" s="39" t="s">
        <v>231</v>
      </c>
      <c r="D95" s="40">
        <v>2</v>
      </c>
      <c r="E95" s="18">
        <f t="shared" si="2"/>
        <v>69</v>
      </c>
      <c r="F95" s="40" t="s">
        <v>1</v>
      </c>
      <c r="G95" s="18" t="s">
        <v>7</v>
      </c>
      <c r="H95" s="14" t="s">
        <v>227</v>
      </c>
    </row>
    <row r="96" spans="1:8" ht="24" x14ac:dyDescent="0.25">
      <c r="A96" s="15" t="s">
        <v>232</v>
      </c>
      <c r="B96" s="75"/>
      <c r="C96" s="39" t="s">
        <v>233</v>
      </c>
      <c r="D96" s="40">
        <v>2</v>
      </c>
      <c r="E96" s="18">
        <f t="shared" si="2"/>
        <v>71</v>
      </c>
      <c r="F96" s="40" t="s">
        <v>1</v>
      </c>
      <c r="G96" s="18" t="s">
        <v>7</v>
      </c>
      <c r="H96" s="14" t="s">
        <v>234</v>
      </c>
    </row>
    <row r="97" spans="1:8" ht="24" x14ac:dyDescent="0.25">
      <c r="A97" s="15" t="s">
        <v>235</v>
      </c>
      <c r="B97" s="75"/>
      <c r="C97" s="39" t="s">
        <v>236</v>
      </c>
      <c r="D97" s="40">
        <v>2</v>
      </c>
      <c r="E97" s="18">
        <f t="shared" si="2"/>
        <v>73</v>
      </c>
      <c r="F97" s="40" t="s">
        <v>1</v>
      </c>
      <c r="G97" s="18" t="s">
        <v>7</v>
      </c>
      <c r="H97" s="14" t="s">
        <v>237</v>
      </c>
    </row>
    <row r="98" spans="1:8" ht="36" x14ac:dyDescent="0.25">
      <c r="A98" s="15" t="s">
        <v>238</v>
      </c>
      <c r="B98" s="75"/>
      <c r="C98" s="39" t="s">
        <v>239</v>
      </c>
      <c r="D98" s="40">
        <v>1</v>
      </c>
      <c r="E98" s="18">
        <f t="shared" si="2"/>
        <v>75</v>
      </c>
      <c r="F98" s="40" t="s">
        <v>1</v>
      </c>
      <c r="G98" s="18" t="s">
        <v>7</v>
      </c>
      <c r="H98" s="14" t="s">
        <v>240</v>
      </c>
    </row>
    <row r="99" spans="1:8" ht="24" x14ac:dyDescent="0.25">
      <c r="A99" s="15" t="s">
        <v>241</v>
      </c>
      <c r="B99" s="75"/>
      <c r="C99" s="39" t="s">
        <v>242</v>
      </c>
      <c r="D99" s="40">
        <v>2</v>
      </c>
      <c r="E99" s="18">
        <f t="shared" si="2"/>
        <v>76</v>
      </c>
      <c r="F99" s="40" t="s">
        <v>1</v>
      </c>
      <c r="G99" s="18" t="s">
        <v>7</v>
      </c>
      <c r="H99" s="14" t="s">
        <v>227</v>
      </c>
    </row>
    <row r="100" spans="1:8" ht="331.5" customHeight="1" x14ac:dyDescent="0.25">
      <c r="A100" s="15" t="s">
        <v>243</v>
      </c>
      <c r="B100" s="75"/>
      <c r="C100" s="39" t="s">
        <v>244</v>
      </c>
      <c r="D100" s="40">
        <v>20</v>
      </c>
      <c r="E100" s="18">
        <f t="shared" si="2"/>
        <v>78</v>
      </c>
      <c r="F100" s="40" t="s">
        <v>1</v>
      </c>
      <c r="G100" s="18" t="s">
        <v>7</v>
      </c>
      <c r="H100" s="51" t="s">
        <v>245</v>
      </c>
    </row>
    <row r="101" spans="1:8" ht="36" x14ac:dyDescent="0.25">
      <c r="A101" s="15" t="s">
        <v>246</v>
      </c>
      <c r="B101" s="46"/>
      <c r="C101" s="39" t="s">
        <v>247</v>
      </c>
      <c r="D101" s="40">
        <v>2</v>
      </c>
      <c r="E101" s="18">
        <f t="shared" si="2"/>
        <v>98</v>
      </c>
      <c r="F101" s="40" t="s">
        <v>1</v>
      </c>
      <c r="G101" s="18" t="s">
        <v>7</v>
      </c>
      <c r="H101" s="14" t="s">
        <v>248</v>
      </c>
    </row>
    <row r="102" spans="1:8" ht="84" x14ac:dyDescent="0.25">
      <c r="A102" s="15" t="s">
        <v>249</v>
      </c>
      <c r="B102" s="75"/>
      <c r="C102" s="39" t="s">
        <v>250</v>
      </c>
      <c r="D102" s="40">
        <v>2</v>
      </c>
      <c r="E102" s="18">
        <f t="shared" si="2"/>
        <v>100</v>
      </c>
      <c r="F102" s="74" t="s">
        <v>1</v>
      </c>
      <c r="G102" s="18" t="s">
        <v>7</v>
      </c>
      <c r="H102" s="14" t="s">
        <v>251</v>
      </c>
    </row>
    <row r="103" spans="1:8" ht="48" x14ac:dyDescent="0.25">
      <c r="A103" s="15" t="s">
        <v>252</v>
      </c>
      <c r="B103" s="75"/>
      <c r="C103" s="39" t="s">
        <v>253</v>
      </c>
      <c r="D103" s="40">
        <v>2</v>
      </c>
      <c r="E103" s="18">
        <f t="shared" si="2"/>
        <v>102</v>
      </c>
      <c r="F103" s="40" t="s">
        <v>1</v>
      </c>
      <c r="G103" s="18" t="s">
        <v>7</v>
      </c>
      <c r="H103" s="14" t="s">
        <v>254</v>
      </c>
    </row>
    <row r="104" spans="1:8" ht="84" x14ac:dyDescent="0.25">
      <c r="A104" s="15" t="s">
        <v>255</v>
      </c>
      <c r="B104" s="75"/>
      <c r="C104" s="39" t="s">
        <v>256</v>
      </c>
      <c r="D104" s="40">
        <v>1</v>
      </c>
      <c r="E104" s="18">
        <f t="shared" si="2"/>
        <v>104</v>
      </c>
      <c r="F104" s="40" t="s">
        <v>1</v>
      </c>
      <c r="G104" s="18" t="s">
        <v>7</v>
      </c>
      <c r="H104" s="14" t="s">
        <v>257</v>
      </c>
    </row>
    <row r="105" spans="1:8" ht="33" customHeight="1" x14ac:dyDescent="0.25">
      <c r="A105" s="15" t="s">
        <v>258</v>
      </c>
      <c r="B105" s="75"/>
      <c r="C105" s="39" t="s">
        <v>259</v>
      </c>
      <c r="D105" s="40">
        <v>2</v>
      </c>
      <c r="E105" s="18">
        <f t="shared" si="2"/>
        <v>105</v>
      </c>
      <c r="F105" s="40" t="s">
        <v>1</v>
      </c>
      <c r="G105" s="18" t="s">
        <v>7</v>
      </c>
      <c r="H105" s="14" t="s">
        <v>260</v>
      </c>
    </row>
    <row r="106" spans="1:8" ht="56.25" customHeight="1" x14ac:dyDescent="0.25">
      <c r="A106" s="15" t="s">
        <v>261</v>
      </c>
      <c r="B106" s="75"/>
      <c r="C106" s="39" t="s">
        <v>262</v>
      </c>
      <c r="D106" s="40">
        <v>1</v>
      </c>
      <c r="E106" s="18">
        <f t="shared" si="2"/>
        <v>107</v>
      </c>
      <c r="F106" s="40" t="s">
        <v>1</v>
      </c>
      <c r="G106" s="18" t="s">
        <v>23</v>
      </c>
      <c r="H106" s="14" t="s">
        <v>263</v>
      </c>
    </row>
    <row r="107" spans="1:8" ht="71.25" customHeight="1" x14ac:dyDescent="0.25">
      <c r="A107" s="15" t="s">
        <v>264</v>
      </c>
      <c r="B107" s="75"/>
      <c r="C107" s="39" t="s">
        <v>265</v>
      </c>
      <c r="D107" s="40">
        <v>1</v>
      </c>
      <c r="E107" s="18">
        <f t="shared" si="2"/>
        <v>108</v>
      </c>
      <c r="F107" s="40" t="s">
        <v>1</v>
      </c>
      <c r="G107" s="18" t="s">
        <v>23</v>
      </c>
      <c r="H107" s="14" t="s">
        <v>266</v>
      </c>
    </row>
    <row r="108" spans="1:8" ht="33.75" customHeight="1" x14ac:dyDescent="0.25">
      <c r="A108" s="15" t="s">
        <v>267</v>
      </c>
      <c r="B108" s="75"/>
      <c r="C108" s="39" t="s">
        <v>268</v>
      </c>
      <c r="D108" s="40">
        <v>2</v>
      </c>
      <c r="E108" s="18">
        <f t="shared" si="2"/>
        <v>109</v>
      </c>
      <c r="F108" s="40" t="s">
        <v>1</v>
      </c>
      <c r="G108" s="15" t="s">
        <v>23</v>
      </c>
      <c r="H108" s="39" t="s">
        <v>269</v>
      </c>
    </row>
    <row r="109" spans="1:8" ht="30.75" customHeight="1" x14ac:dyDescent="0.25">
      <c r="A109" s="15" t="s">
        <v>270</v>
      </c>
      <c r="B109" s="75"/>
      <c r="C109" s="39" t="s">
        <v>271</v>
      </c>
      <c r="D109" s="40">
        <v>2</v>
      </c>
      <c r="E109" s="18">
        <f t="shared" si="2"/>
        <v>111</v>
      </c>
      <c r="F109" s="40" t="s">
        <v>1</v>
      </c>
      <c r="G109" s="15" t="s">
        <v>23</v>
      </c>
      <c r="H109" s="39" t="s">
        <v>272</v>
      </c>
    </row>
    <row r="110" spans="1:8" ht="43.5" customHeight="1" x14ac:dyDescent="0.25">
      <c r="A110" s="15" t="s">
        <v>273</v>
      </c>
      <c r="B110" s="75"/>
      <c r="C110" s="39" t="s">
        <v>274</v>
      </c>
      <c r="D110" s="40">
        <v>2</v>
      </c>
      <c r="E110" s="18">
        <f t="shared" si="2"/>
        <v>113</v>
      </c>
      <c r="F110" s="40" t="s">
        <v>1</v>
      </c>
      <c r="G110" s="15" t="s">
        <v>23</v>
      </c>
      <c r="H110" s="39" t="s">
        <v>275</v>
      </c>
    </row>
    <row r="111" spans="1:8" ht="45.75" customHeight="1" x14ac:dyDescent="0.25">
      <c r="A111" s="15" t="s">
        <v>276</v>
      </c>
      <c r="B111" s="75"/>
      <c r="C111" s="39" t="s">
        <v>277</v>
      </c>
      <c r="D111" s="40">
        <v>2</v>
      </c>
      <c r="E111" s="18">
        <f t="shared" si="2"/>
        <v>115</v>
      </c>
      <c r="F111" s="40" t="s">
        <v>1</v>
      </c>
      <c r="G111" s="15" t="s">
        <v>23</v>
      </c>
      <c r="H111" s="39" t="s">
        <v>278</v>
      </c>
    </row>
    <row r="112" spans="1:8" ht="48.75" customHeight="1" x14ac:dyDescent="0.25">
      <c r="A112" s="15" t="s">
        <v>279</v>
      </c>
      <c r="B112" s="75"/>
      <c r="C112" s="39" t="s">
        <v>280</v>
      </c>
      <c r="D112" s="40">
        <v>2</v>
      </c>
      <c r="E112" s="18">
        <f t="shared" si="2"/>
        <v>117</v>
      </c>
      <c r="F112" s="40" t="s">
        <v>1</v>
      </c>
      <c r="G112" s="15" t="s">
        <v>23</v>
      </c>
      <c r="H112" s="39" t="s">
        <v>281</v>
      </c>
    </row>
    <row r="113" spans="1:8" ht="60" x14ac:dyDescent="0.25">
      <c r="A113" s="15" t="s">
        <v>282</v>
      </c>
      <c r="B113" s="75"/>
      <c r="C113" s="39" t="s">
        <v>283</v>
      </c>
      <c r="D113" s="40">
        <v>1</v>
      </c>
      <c r="E113" s="18">
        <f t="shared" si="2"/>
        <v>119</v>
      </c>
      <c r="F113" s="40" t="s">
        <v>1</v>
      </c>
      <c r="G113" s="15" t="s">
        <v>23</v>
      </c>
      <c r="H113" s="39" t="s">
        <v>284</v>
      </c>
    </row>
    <row r="114" spans="1:8" ht="91.5" customHeight="1" x14ac:dyDescent="0.25">
      <c r="A114" s="15" t="s">
        <v>285</v>
      </c>
      <c r="B114" s="75"/>
      <c r="C114" s="39" t="s">
        <v>286</v>
      </c>
      <c r="D114" s="40">
        <v>1</v>
      </c>
      <c r="E114" s="18">
        <f t="shared" si="2"/>
        <v>120</v>
      </c>
      <c r="F114" s="40" t="s">
        <v>13</v>
      </c>
      <c r="G114" s="18" t="s">
        <v>7</v>
      </c>
      <c r="H114" s="14" t="s">
        <v>287</v>
      </c>
    </row>
    <row r="115" spans="1:8" ht="105.75" customHeight="1" x14ac:dyDescent="0.25">
      <c r="A115" s="15" t="s">
        <v>288</v>
      </c>
      <c r="B115" s="50"/>
      <c r="C115" s="39" t="s">
        <v>289</v>
      </c>
      <c r="D115" s="40">
        <v>3</v>
      </c>
      <c r="E115" s="18">
        <f>+D114+E114</f>
        <v>121</v>
      </c>
      <c r="F115" s="40" t="s">
        <v>1</v>
      </c>
      <c r="G115" s="73" t="s">
        <v>23</v>
      </c>
      <c r="H115" s="14" t="s">
        <v>290</v>
      </c>
    </row>
    <row r="116" spans="1:8" ht="42.75" customHeight="1" x14ac:dyDescent="0.25">
      <c r="A116" s="15" t="s">
        <v>291</v>
      </c>
      <c r="B116" s="39" t="s">
        <v>11</v>
      </c>
      <c r="C116" s="39" t="s">
        <v>63</v>
      </c>
      <c r="D116" s="18">
        <v>6</v>
      </c>
      <c r="E116" s="18">
        <f>+D115+E115</f>
        <v>124</v>
      </c>
      <c r="F116" s="18" t="s">
        <v>13</v>
      </c>
      <c r="G116" s="18" t="s">
        <v>7</v>
      </c>
      <c r="H116" s="19" t="s">
        <v>292</v>
      </c>
    </row>
    <row r="117" spans="1:8" ht="27.75" customHeight="1" x14ac:dyDescent="0.25">
      <c r="A117" s="15" t="s">
        <v>293</v>
      </c>
      <c r="B117" s="39" t="s">
        <v>11</v>
      </c>
      <c r="C117" s="39" t="s">
        <v>66</v>
      </c>
      <c r="D117" s="18">
        <v>6</v>
      </c>
      <c r="E117" s="18">
        <f>+D116+E116</f>
        <v>130</v>
      </c>
      <c r="F117" s="18" t="s">
        <v>13</v>
      </c>
      <c r="G117" s="18" t="s">
        <v>7</v>
      </c>
      <c r="H117" s="19" t="s">
        <v>67</v>
      </c>
    </row>
    <row r="118" spans="1:8" x14ac:dyDescent="0.25">
      <c r="A118" s="5"/>
      <c r="H118" s="30"/>
    </row>
    <row r="119" spans="1:8" ht="15.75" x14ac:dyDescent="0.25">
      <c r="A119" s="66" t="s">
        <v>294</v>
      </c>
      <c r="B119" s="24"/>
      <c r="C119" s="13"/>
      <c r="D119" s="13"/>
      <c r="E119" s="13"/>
      <c r="F119" s="13"/>
      <c r="G119" s="13"/>
      <c r="H119" s="26"/>
    </row>
    <row r="120" spans="1:8" ht="24" x14ac:dyDescent="0.25">
      <c r="A120" s="15" t="s">
        <v>295</v>
      </c>
      <c r="B120" s="16" t="s">
        <v>11</v>
      </c>
      <c r="C120" s="39" t="s">
        <v>90</v>
      </c>
      <c r="D120" s="40">
        <v>6</v>
      </c>
      <c r="E120" s="18">
        <v>1</v>
      </c>
      <c r="F120" s="40" t="s">
        <v>1</v>
      </c>
      <c r="G120" s="18" t="s">
        <v>7</v>
      </c>
      <c r="H120" s="14" t="s">
        <v>296</v>
      </c>
    </row>
    <row r="121" spans="1:8" ht="24" x14ac:dyDescent="0.25">
      <c r="A121" s="15" t="s">
        <v>297</v>
      </c>
      <c r="B121" s="75"/>
      <c r="C121" s="39" t="s">
        <v>298</v>
      </c>
      <c r="D121" s="40">
        <v>15</v>
      </c>
      <c r="E121" s="18">
        <f>+D120+E120</f>
        <v>7</v>
      </c>
      <c r="F121" s="40" t="s">
        <v>13</v>
      </c>
      <c r="G121" s="18" t="s">
        <v>7</v>
      </c>
      <c r="H121" s="14" t="s">
        <v>299</v>
      </c>
    </row>
    <row r="122" spans="1:8" ht="36" x14ac:dyDescent="0.25">
      <c r="A122" s="15" t="s">
        <v>300</v>
      </c>
      <c r="B122" s="75"/>
      <c r="C122" s="39" t="s">
        <v>301</v>
      </c>
      <c r="D122" s="40">
        <v>1</v>
      </c>
      <c r="E122" s="18">
        <f t="shared" ref="E122:E139" si="3">+D121+E121</f>
        <v>22</v>
      </c>
      <c r="F122" s="40" t="s">
        <v>1</v>
      </c>
      <c r="G122" s="18" t="s">
        <v>7</v>
      </c>
      <c r="H122" s="14" t="s">
        <v>302</v>
      </c>
    </row>
    <row r="123" spans="1:8" ht="84" x14ac:dyDescent="0.25">
      <c r="A123" s="15" t="s">
        <v>303</v>
      </c>
      <c r="B123" s="75"/>
      <c r="C123" s="39" t="s">
        <v>304</v>
      </c>
      <c r="D123" s="40">
        <v>1</v>
      </c>
      <c r="E123" s="18">
        <f t="shared" si="3"/>
        <v>23</v>
      </c>
      <c r="F123" s="40" t="s">
        <v>1</v>
      </c>
      <c r="G123" s="18" t="s">
        <v>7</v>
      </c>
      <c r="H123" s="14" t="s">
        <v>305</v>
      </c>
    </row>
    <row r="124" spans="1:8" ht="36" x14ac:dyDescent="0.25">
      <c r="A124" s="15" t="s">
        <v>306</v>
      </c>
      <c r="B124" s="75"/>
      <c r="C124" s="39" t="s">
        <v>307</v>
      </c>
      <c r="D124" s="40">
        <v>1</v>
      </c>
      <c r="E124" s="18">
        <f t="shared" si="3"/>
        <v>24</v>
      </c>
      <c r="F124" s="40"/>
      <c r="G124" s="18" t="s">
        <v>7</v>
      </c>
      <c r="H124" s="14" t="s">
        <v>308</v>
      </c>
    </row>
    <row r="125" spans="1:8" ht="24" x14ac:dyDescent="0.25">
      <c r="A125" s="15" t="s">
        <v>309</v>
      </c>
      <c r="B125" s="75"/>
      <c r="C125" s="39" t="s">
        <v>310</v>
      </c>
      <c r="D125" s="40">
        <v>120</v>
      </c>
      <c r="E125" s="18">
        <f t="shared" si="3"/>
        <v>25</v>
      </c>
      <c r="F125" s="40" t="s">
        <v>311</v>
      </c>
      <c r="G125" s="18" t="s">
        <v>7</v>
      </c>
      <c r="H125" s="14" t="s">
        <v>312</v>
      </c>
    </row>
    <row r="126" spans="1:8" ht="48" x14ac:dyDescent="0.25">
      <c r="A126" s="15" t="s">
        <v>313</v>
      </c>
      <c r="B126" s="75" t="s">
        <v>11</v>
      </c>
      <c r="C126" s="39" t="s">
        <v>314</v>
      </c>
      <c r="D126" s="40">
        <v>3</v>
      </c>
      <c r="E126" s="18">
        <f t="shared" si="3"/>
        <v>145</v>
      </c>
      <c r="F126" s="40" t="s">
        <v>13</v>
      </c>
      <c r="G126" s="18" t="s">
        <v>7</v>
      </c>
      <c r="H126" s="14" t="s">
        <v>315</v>
      </c>
    </row>
    <row r="127" spans="1:8" ht="24" x14ac:dyDescent="0.25">
      <c r="A127" s="15" t="s">
        <v>316</v>
      </c>
      <c r="B127" s="75" t="s">
        <v>11</v>
      </c>
      <c r="C127" s="39" t="s">
        <v>317</v>
      </c>
      <c r="D127" s="40">
        <v>3</v>
      </c>
      <c r="E127" s="18">
        <f t="shared" si="3"/>
        <v>148</v>
      </c>
      <c r="F127" s="40" t="s">
        <v>13</v>
      </c>
      <c r="G127" s="18" t="s">
        <v>7</v>
      </c>
      <c r="H127" s="14" t="s">
        <v>318</v>
      </c>
    </row>
    <row r="128" spans="1:8" ht="36" x14ac:dyDescent="0.25">
      <c r="A128" s="15" t="s">
        <v>319</v>
      </c>
      <c r="B128" s="75"/>
      <c r="C128" s="39" t="s">
        <v>320</v>
      </c>
      <c r="D128" s="40">
        <v>6</v>
      </c>
      <c r="E128" s="18">
        <f t="shared" si="3"/>
        <v>151</v>
      </c>
      <c r="F128" s="40" t="s">
        <v>1</v>
      </c>
      <c r="G128" s="18" t="s">
        <v>7</v>
      </c>
      <c r="H128" s="14" t="s">
        <v>321</v>
      </c>
    </row>
    <row r="129" spans="1:8" x14ac:dyDescent="0.25">
      <c r="A129" s="15" t="s">
        <v>322</v>
      </c>
      <c r="B129" s="75"/>
      <c r="C129" s="39" t="s">
        <v>323</v>
      </c>
      <c r="D129" s="40">
        <v>30</v>
      </c>
      <c r="E129" s="18">
        <f t="shared" si="3"/>
        <v>157</v>
      </c>
      <c r="F129" s="40" t="s">
        <v>311</v>
      </c>
      <c r="G129" s="18" t="s">
        <v>7</v>
      </c>
      <c r="H129" s="14" t="s">
        <v>324</v>
      </c>
    </row>
    <row r="130" spans="1:8" ht="24" x14ac:dyDescent="0.25">
      <c r="A130" s="15" t="s">
        <v>325</v>
      </c>
      <c r="B130" s="75"/>
      <c r="C130" s="39" t="s">
        <v>326</v>
      </c>
      <c r="D130" s="40">
        <v>6</v>
      </c>
      <c r="E130" s="18">
        <f t="shared" si="3"/>
        <v>187</v>
      </c>
      <c r="F130" s="40" t="s">
        <v>1</v>
      </c>
      <c r="G130" s="18" t="s">
        <v>7</v>
      </c>
      <c r="H130" s="14" t="s">
        <v>327</v>
      </c>
    </row>
    <row r="131" spans="1:8" x14ac:dyDescent="0.25">
      <c r="A131" s="15" t="s">
        <v>328</v>
      </c>
      <c r="B131" s="75"/>
      <c r="C131" s="39" t="s">
        <v>329</v>
      </c>
      <c r="D131" s="40">
        <v>120</v>
      </c>
      <c r="E131" s="18">
        <f t="shared" si="3"/>
        <v>193</v>
      </c>
      <c r="F131" s="40" t="s">
        <v>13</v>
      </c>
      <c r="G131" s="18" t="s">
        <v>7</v>
      </c>
      <c r="H131" s="14" t="s">
        <v>330</v>
      </c>
    </row>
    <row r="132" spans="1:8" ht="132" x14ac:dyDescent="0.25">
      <c r="A132" s="15" t="s">
        <v>331</v>
      </c>
      <c r="B132" s="75"/>
      <c r="C132" s="39" t="s">
        <v>332</v>
      </c>
      <c r="D132" s="40">
        <v>2</v>
      </c>
      <c r="E132" s="18">
        <f t="shared" si="3"/>
        <v>313</v>
      </c>
      <c r="F132" s="40" t="s">
        <v>1</v>
      </c>
      <c r="G132" s="18" t="s">
        <v>7</v>
      </c>
      <c r="H132" s="14" t="s">
        <v>333</v>
      </c>
    </row>
    <row r="133" spans="1:8" ht="36" x14ac:dyDescent="0.25">
      <c r="A133" s="15" t="s">
        <v>334</v>
      </c>
      <c r="B133" s="75"/>
      <c r="C133" s="39" t="s">
        <v>335</v>
      </c>
      <c r="D133" s="40">
        <v>6</v>
      </c>
      <c r="E133" s="18">
        <f t="shared" si="3"/>
        <v>315</v>
      </c>
      <c r="F133" s="40" t="s">
        <v>1</v>
      </c>
      <c r="G133" s="18" t="s">
        <v>7</v>
      </c>
      <c r="H133" s="14" t="s">
        <v>336</v>
      </c>
    </row>
    <row r="134" spans="1:8" x14ac:dyDescent="0.25">
      <c r="A134" s="15" t="s">
        <v>337</v>
      </c>
      <c r="B134" s="75"/>
      <c r="C134" s="39" t="s">
        <v>338</v>
      </c>
      <c r="D134" s="40">
        <v>30</v>
      </c>
      <c r="E134" s="18">
        <f t="shared" si="3"/>
        <v>321</v>
      </c>
      <c r="F134" s="40" t="s">
        <v>13</v>
      </c>
      <c r="G134" s="18" t="s">
        <v>7</v>
      </c>
      <c r="H134" s="14" t="s">
        <v>339</v>
      </c>
    </row>
    <row r="135" spans="1:8" x14ac:dyDescent="0.25">
      <c r="A135" s="15" t="s">
        <v>340</v>
      </c>
      <c r="B135" s="75"/>
      <c r="C135" s="39" t="s">
        <v>341</v>
      </c>
      <c r="D135" s="40">
        <v>11</v>
      </c>
      <c r="E135" s="18">
        <f t="shared" si="3"/>
        <v>351</v>
      </c>
      <c r="F135" s="40" t="s">
        <v>1</v>
      </c>
      <c r="G135" s="18" t="s">
        <v>7</v>
      </c>
      <c r="H135" s="14" t="s">
        <v>342</v>
      </c>
    </row>
    <row r="136" spans="1:8" x14ac:dyDescent="0.25">
      <c r="A136" s="15" t="s">
        <v>343</v>
      </c>
      <c r="B136" s="75"/>
      <c r="C136" s="39" t="s">
        <v>344</v>
      </c>
      <c r="D136" s="40">
        <v>11</v>
      </c>
      <c r="E136" s="18">
        <f t="shared" si="3"/>
        <v>362</v>
      </c>
      <c r="F136" s="40" t="s">
        <v>1</v>
      </c>
      <c r="G136" s="18" t="s">
        <v>7</v>
      </c>
      <c r="H136" s="14" t="s">
        <v>345</v>
      </c>
    </row>
    <row r="137" spans="1:8" x14ac:dyDescent="0.25">
      <c r="A137" s="15" t="s">
        <v>346</v>
      </c>
      <c r="B137" s="75"/>
      <c r="C137" s="39" t="s">
        <v>347</v>
      </c>
      <c r="D137" s="40">
        <v>8</v>
      </c>
      <c r="E137" s="18">
        <f t="shared" si="3"/>
        <v>373</v>
      </c>
      <c r="F137" s="40" t="s">
        <v>203</v>
      </c>
      <c r="G137" s="18" t="s">
        <v>7</v>
      </c>
      <c r="H137" s="14" t="s">
        <v>348</v>
      </c>
    </row>
    <row r="138" spans="1:8" x14ac:dyDescent="0.25">
      <c r="A138" s="15" t="s">
        <v>349</v>
      </c>
      <c r="B138" s="75"/>
      <c r="C138" s="39" t="s">
        <v>350</v>
      </c>
      <c r="D138" s="40">
        <v>8</v>
      </c>
      <c r="E138" s="18">
        <f t="shared" si="3"/>
        <v>381</v>
      </c>
      <c r="F138" s="40" t="s">
        <v>203</v>
      </c>
      <c r="G138" s="18" t="s">
        <v>7</v>
      </c>
      <c r="H138" s="14" t="s">
        <v>351</v>
      </c>
    </row>
    <row r="139" spans="1:8" x14ac:dyDescent="0.25">
      <c r="A139" s="15" t="s">
        <v>352</v>
      </c>
      <c r="B139" s="75" t="s">
        <v>11</v>
      </c>
      <c r="C139" s="39" t="s">
        <v>353</v>
      </c>
      <c r="D139" s="18">
        <v>6</v>
      </c>
      <c r="E139" s="18">
        <f t="shared" si="3"/>
        <v>389</v>
      </c>
      <c r="F139" s="52" t="s">
        <v>13</v>
      </c>
      <c r="G139" s="18" t="s">
        <v>7</v>
      </c>
      <c r="H139" s="14" t="s">
        <v>354</v>
      </c>
    </row>
    <row r="140" spans="1:8" x14ac:dyDescent="0.25">
      <c r="A140" s="20"/>
      <c r="B140" s="33"/>
      <c r="D140" s="27"/>
      <c r="F140" s="34"/>
      <c r="G140" s="29"/>
      <c r="H140" s="27"/>
    </row>
    <row r="142" spans="1:8" ht="15.75" x14ac:dyDescent="0.25">
      <c r="A142" s="35" t="s">
        <v>355</v>
      </c>
      <c r="B142" s="36"/>
      <c r="C142" s="37"/>
      <c r="D142" s="37"/>
      <c r="E142" s="37"/>
      <c r="F142" s="37"/>
      <c r="G142" s="37"/>
      <c r="H142" s="38"/>
    </row>
    <row r="143" spans="1:8" ht="24" x14ac:dyDescent="0.25">
      <c r="A143" s="15" t="s">
        <v>356</v>
      </c>
      <c r="B143" s="16" t="s">
        <v>11</v>
      </c>
      <c r="C143" s="39" t="s">
        <v>90</v>
      </c>
      <c r="D143" s="40">
        <v>6</v>
      </c>
      <c r="E143" s="18">
        <v>1</v>
      </c>
      <c r="F143" s="40" t="s">
        <v>1</v>
      </c>
      <c r="G143" s="18" t="s">
        <v>7</v>
      </c>
      <c r="H143" s="14" t="s">
        <v>357</v>
      </c>
    </row>
    <row r="144" spans="1:8" ht="24" x14ac:dyDescent="0.25">
      <c r="A144" s="15" t="s">
        <v>358</v>
      </c>
      <c r="B144" s="16"/>
      <c r="C144" s="39" t="s">
        <v>298</v>
      </c>
      <c r="D144" s="40">
        <v>15</v>
      </c>
      <c r="E144" s="18">
        <f t="shared" ref="E144:E153" si="4">+D143+E143</f>
        <v>7</v>
      </c>
      <c r="F144" s="40" t="s">
        <v>13</v>
      </c>
      <c r="G144" s="18" t="s">
        <v>7</v>
      </c>
      <c r="H144" s="14" t="s">
        <v>299</v>
      </c>
    </row>
    <row r="145" spans="1:8" x14ac:dyDescent="0.25">
      <c r="A145" s="15" t="s">
        <v>359</v>
      </c>
      <c r="B145" s="16" t="s">
        <v>11</v>
      </c>
      <c r="C145" s="39" t="s">
        <v>360</v>
      </c>
      <c r="D145" s="40">
        <v>10</v>
      </c>
      <c r="E145" s="18">
        <f t="shared" si="4"/>
        <v>22</v>
      </c>
      <c r="F145" s="40" t="s">
        <v>13</v>
      </c>
      <c r="G145" s="18" t="s">
        <v>7</v>
      </c>
      <c r="H145" s="14" t="s">
        <v>361</v>
      </c>
    </row>
    <row r="146" spans="1:8" ht="36" x14ac:dyDescent="0.25">
      <c r="A146" s="15" t="s">
        <v>362</v>
      </c>
      <c r="B146" s="16"/>
      <c r="C146" s="39" t="s">
        <v>363</v>
      </c>
      <c r="D146" s="40">
        <v>1</v>
      </c>
      <c r="E146" s="18">
        <f t="shared" si="4"/>
        <v>32</v>
      </c>
      <c r="F146" s="40" t="s">
        <v>1</v>
      </c>
      <c r="G146" s="18" t="s">
        <v>7</v>
      </c>
      <c r="H146" s="14" t="s">
        <v>364</v>
      </c>
    </row>
    <row r="147" spans="1:8" ht="36" x14ac:dyDescent="0.25">
      <c r="A147" s="15" t="s">
        <v>365</v>
      </c>
      <c r="B147" s="16"/>
      <c r="C147" s="39" t="s">
        <v>366</v>
      </c>
      <c r="D147" s="40">
        <v>1</v>
      </c>
      <c r="E147" s="18">
        <f t="shared" si="4"/>
        <v>33</v>
      </c>
      <c r="F147" s="40" t="s">
        <v>1</v>
      </c>
      <c r="G147" s="18" t="s">
        <v>7</v>
      </c>
      <c r="H147" s="14" t="s">
        <v>367</v>
      </c>
    </row>
    <row r="148" spans="1:8" x14ac:dyDescent="0.25">
      <c r="A148" s="15" t="s">
        <v>368</v>
      </c>
      <c r="B148" s="16"/>
      <c r="C148" s="39" t="s">
        <v>369</v>
      </c>
      <c r="D148" s="40">
        <v>4</v>
      </c>
      <c r="E148" s="18">
        <f t="shared" si="4"/>
        <v>34</v>
      </c>
      <c r="F148" s="40" t="s">
        <v>1</v>
      </c>
      <c r="G148" s="18" t="s">
        <v>7</v>
      </c>
      <c r="H148" s="14" t="s">
        <v>370</v>
      </c>
    </row>
    <row r="149" spans="1:8" x14ac:dyDescent="0.25">
      <c r="A149" s="15" t="s">
        <v>371</v>
      </c>
      <c r="B149" s="16"/>
      <c r="C149" s="39" t="s">
        <v>372</v>
      </c>
      <c r="D149" s="40">
        <v>8</v>
      </c>
      <c r="E149" s="18">
        <f t="shared" si="4"/>
        <v>38</v>
      </c>
      <c r="F149" s="40" t="s">
        <v>203</v>
      </c>
      <c r="G149" s="18" t="s">
        <v>7</v>
      </c>
      <c r="H149" s="14" t="s">
        <v>373</v>
      </c>
    </row>
    <row r="150" spans="1:8" x14ac:dyDescent="0.25">
      <c r="A150" s="15" t="s">
        <v>374</v>
      </c>
      <c r="B150" s="16"/>
      <c r="C150" s="39" t="s">
        <v>375</v>
      </c>
      <c r="D150" s="40">
        <v>3</v>
      </c>
      <c r="E150" s="18">
        <f t="shared" si="4"/>
        <v>46</v>
      </c>
      <c r="F150" s="40" t="s">
        <v>1</v>
      </c>
      <c r="G150" s="18" t="s">
        <v>7</v>
      </c>
      <c r="H150" s="14" t="s">
        <v>376</v>
      </c>
    </row>
    <row r="151" spans="1:8" ht="96" x14ac:dyDescent="0.25">
      <c r="A151" s="15" t="s">
        <v>377</v>
      </c>
      <c r="B151" s="16"/>
      <c r="C151" s="39" t="s">
        <v>378</v>
      </c>
      <c r="D151" s="40">
        <v>1</v>
      </c>
      <c r="E151" s="18">
        <f t="shared" si="4"/>
        <v>49</v>
      </c>
      <c r="F151" s="40" t="s">
        <v>1</v>
      </c>
      <c r="G151" s="18" t="s">
        <v>7</v>
      </c>
      <c r="H151" s="14" t="s">
        <v>379</v>
      </c>
    </row>
    <row r="152" spans="1:8" x14ac:dyDescent="0.25">
      <c r="A152" s="15" t="s">
        <v>380</v>
      </c>
      <c r="B152" s="16"/>
      <c r="C152" s="39" t="s">
        <v>381</v>
      </c>
      <c r="D152" s="40">
        <v>8</v>
      </c>
      <c r="E152" s="18">
        <f t="shared" si="4"/>
        <v>50</v>
      </c>
      <c r="F152" s="40" t="s">
        <v>203</v>
      </c>
      <c r="G152" s="18" t="s">
        <v>27</v>
      </c>
      <c r="H152" s="14" t="s">
        <v>382</v>
      </c>
    </row>
    <row r="153" spans="1:8" x14ac:dyDescent="0.25">
      <c r="A153" s="15" t="s">
        <v>383</v>
      </c>
      <c r="B153" s="16"/>
      <c r="C153" s="39" t="s">
        <v>384</v>
      </c>
      <c r="D153" s="40">
        <v>10</v>
      </c>
      <c r="E153" s="18">
        <f t="shared" si="4"/>
        <v>58</v>
      </c>
      <c r="F153" s="40" t="s">
        <v>13</v>
      </c>
      <c r="G153" s="18" t="s">
        <v>27</v>
      </c>
      <c r="H153" s="14" t="s">
        <v>385</v>
      </c>
    </row>
    <row r="154" spans="1:8" x14ac:dyDescent="0.25">
      <c r="A154" s="5"/>
      <c r="B154" s="41"/>
      <c r="C154" s="25"/>
      <c r="D154" s="5"/>
      <c r="E154" s="5"/>
      <c r="F154" s="5"/>
      <c r="G154" s="5"/>
      <c r="H154" s="5"/>
    </row>
    <row r="155" spans="1:8" x14ac:dyDescent="0.25">
      <c r="A155" s="42"/>
      <c r="B155" s="33"/>
      <c r="C155" s="42"/>
      <c r="D155" s="42"/>
      <c r="E155" s="42"/>
      <c r="F155" s="42"/>
      <c r="G155" s="42"/>
      <c r="H155" s="42"/>
    </row>
    <row r="156" spans="1:8" x14ac:dyDescent="0.25">
      <c r="A156" s="42"/>
      <c r="B156" s="33"/>
      <c r="C156" s="80" t="s">
        <v>386</v>
      </c>
      <c r="D156" s="81"/>
      <c r="E156" s="81"/>
      <c r="F156" s="81"/>
      <c r="G156" s="81"/>
      <c r="H156" s="82"/>
    </row>
  </sheetData>
  <mergeCells count="2">
    <mergeCell ref="A3:H3"/>
    <mergeCell ref="C156:H156"/>
  </mergeCells>
  <pageMargins left="0.70866141732283472" right="0.70866141732283472" top="0.74803149606299213" bottom="0.74803149606299213" header="0.31496062992125984" footer="0.31496062992125984"/>
  <pageSetup paperSize="9" scale="61" fitToHeight="33" orientation="portrait" r:id="rId1"/>
  <headerFooter>
    <oddFooter>&amp;R&amp;P</oddFooter>
  </headerFooter>
  <rowBreaks count="2" manualBreakCount="2">
    <brk id="113" max="7" man="1"/>
    <brk id="141"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4"/>
  <sheetViews>
    <sheetView zoomScale="120" zoomScaleNormal="120" workbookViewId="0">
      <selection activeCell="B4" sqref="B4"/>
    </sheetView>
  </sheetViews>
  <sheetFormatPr defaultColWidth="9.140625" defaultRowHeight="15" x14ac:dyDescent="0.25"/>
  <cols>
    <col min="1" max="1" width="1.7109375" customWidth="1"/>
    <col min="2" max="2" width="44.28515625" bestFit="1" customWidth="1"/>
    <col min="3" max="3" width="79.85546875" customWidth="1"/>
    <col min="4" max="8" width="18.28515625" customWidth="1"/>
  </cols>
  <sheetData>
    <row r="1" spans="1:9" s="1" customFormat="1" x14ac:dyDescent="0.25"/>
    <row r="2" spans="1:9" s="1" customFormat="1" x14ac:dyDescent="0.25"/>
    <row r="3" spans="1:9" s="5" customFormat="1" ht="59.25" customHeight="1" x14ac:dyDescent="0.25">
      <c r="A3" s="83" t="s">
        <v>0</v>
      </c>
      <c r="B3" s="83"/>
      <c r="C3" s="83"/>
      <c r="D3" s="64"/>
      <c r="E3" s="64"/>
      <c r="F3" s="64"/>
      <c r="G3" s="64"/>
      <c r="H3" s="64"/>
    </row>
    <row r="4" spans="1:9" s="1" customFormat="1" x14ac:dyDescent="0.25"/>
    <row r="6" spans="1:9" x14ac:dyDescent="0.25">
      <c r="B6" s="58"/>
      <c r="C6" s="59" t="s">
        <v>387</v>
      </c>
      <c r="D6" s="56"/>
      <c r="E6" s="56"/>
      <c r="F6" s="56"/>
      <c r="G6" s="56"/>
      <c r="H6" s="56"/>
      <c r="I6" s="6"/>
    </row>
    <row r="7" spans="1:9" ht="38.25" x14ac:dyDescent="0.25">
      <c r="B7" s="60" t="s">
        <v>388</v>
      </c>
      <c r="C7" s="61" t="s">
        <v>389</v>
      </c>
      <c r="D7" s="57"/>
      <c r="E7" s="57"/>
      <c r="F7" s="57"/>
      <c r="G7" s="57"/>
      <c r="H7" s="57"/>
      <c r="I7" s="6"/>
    </row>
    <row r="8" spans="1:9" ht="25.5" x14ac:dyDescent="0.25">
      <c r="B8" s="60" t="s">
        <v>390</v>
      </c>
      <c r="C8" s="61" t="s">
        <v>391</v>
      </c>
      <c r="D8" s="57"/>
      <c r="E8" s="57"/>
      <c r="F8" s="57"/>
      <c r="G8" s="57"/>
      <c r="H8" s="57"/>
      <c r="I8" s="6"/>
    </row>
    <row r="9" spans="1:9" ht="51" x14ac:dyDescent="0.25">
      <c r="B9" s="60" t="s">
        <v>392</v>
      </c>
      <c r="C9" s="61" t="s">
        <v>393</v>
      </c>
      <c r="D9" s="57"/>
      <c r="E9" s="57"/>
      <c r="F9" s="57"/>
      <c r="G9" s="57"/>
      <c r="H9" s="57"/>
      <c r="I9" s="6"/>
    </row>
    <row r="10" spans="1:9" ht="26.25" x14ac:dyDescent="0.25">
      <c r="A10" s="10"/>
      <c r="B10" s="55"/>
      <c r="C10" s="62" t="s">
        <v>394</v>
      </c>
      <c r="D10" s="56"/>
      <c r="E10" s="56"/>
      <c r="F10" s="56"/>
      <c r="G10" s="56"/>
      <c r="H10" s="56"/>
      <c r="I10" s="77"/>
    </row>
    <row r="11" spans="1:9" x14ac:dyDescent="0.25">
      <c r="B11" s="7"/>
      <c r="C11" s="8"/>
      <c r="D11" s="9"/>
      <c r="E11" s="9"/>
      <c r="F11" s="9"/>
      <c r="G11" s="9"/>
      <c r="H11" s="9"/>
      <c r="I11" s="6"/>
    </row>
    <row r="12" spans="1:9" x14ac:dyDescent="0.25">
      <c r="B12" s="45" t="s">
        <v>395</v>
      </c>
    </row>
    <row r="13" spans="1:9" x14ac:dyDescent="0.25">
      <c r="A13" s="1"/>
    </row>
    <row r="14" spans="1:9" x14ac:dyDescent="0.25">
      <c r="B14" s="53" t="s">
        <v>396</v>
      </c>
      <c r="C14" s="53" t="s">
        <v>397</v>
      </c>
    </row>
    <row r="15" spans="1:9" x14ac:dyDescent="0.25">
      <c r="B15" s="53" t="s">
        <v>9</v>
      </c>
      <c r="C15" s="54" t="s">
        <v>398</v>
      </c>
    </row>
    <row r="16" spans="1:9" x14ac:dyDescent="0.25">
      <c r="B16" s="53" t="s">
        <v>68</v>
      </c>
      <c r="C16" s="54" t="s">
        <v>398</v>
      </c>
    </row>
    <row r="17" spans="1:9" x14ac:dyDescent="0.25">
      <c r="B17" s="53" t="s">
        <v>193</v>
      </c>
      <c r="C17" s="54" t="s">
        <v>398</v>
      </c>
    </row>
    <row r="18" spans="1:9" x14ac:dyDescent="0.25">
      <c r="B18" s="53" t="s">
        <v>294</v>
      </c>
      <c r="C18" s="54" t="s">
        <v>399</v>
      </c>
    </row>
    <row r="19" spans="1:9" x14ac:dyDescent="0.25">
      <c r="B19" s="53" t="s">
        <v>355</v>
      </c>
      <c r="C19" s="54" t="s">
        <v>399</v>
      </c>
    </row>
    <row r="20" spans="1:9" ht="39.75" customHeight="1" x14ac:dyDescent="0.25">
      <c r="A20" s="10"/>
      <c r="B20" s="3"/>
      <c r="C20" s="63" t="s">
        <v>400</v>
      </c>
      <c r="D20" s="10"/>
      <c r="E20" s="10"/>
      <c r="F20" s="10"/>
      <c r="G20" s="10"/>
      <c r="H20" s="10"/>
      <c r="I20" s="77"/>
    </row>
    <row r="21" spans="1:9" x14ac:dyDescent="0.25">
      <c r="A21" s="10"/>
      <c r="B21" s="45"/>
      <c r="C21" s="10"/>
      <c r="D21" s="10"/>
      <c r="E21" s="10"/>
      <c r="F21" s="10"/>
      <c r="G21" s="10"/>
      <c r="H21" s="10"/>
      <c r="I21" s="77"/>
    </row>
    <row r="22" spans="1:9" x14ac:dyDescent="0.25">
      <c r="A22" s="10"/>
      <c r="B22" s="3"/>
      <c r="C22" s="10"/>
      <c r="D22" s="10"/>
      <c r="E22" s="10"/>
      <c r="F22" s="10"/>
      <c r="G22" s="10"/>
      <c r="H22" s="10"/>
      <c r="I22" s="77"/>
    </row>
    <row r="23" spans="1:9" s="1" customFormat="1" ht="15.75" customHeight="1" x14ac:dyDescent="0.25">
      <c r="A23" s="43"/>
      <c r="B23" s="43" t="s">
        <v>386</v>
      </c>
      <c r="D23" s="44"/>
      <c r="E23" s="44"/>
      <c r="F23" s="44"/>
      <c r="G23" s="44"/>
      <c r="H23" s="44"/>
      <c r="I23" s="78"/>
    </row>
    <row r="24" spans="1:9" x14ac:dyDescent="0.25">
      <c r="B24" s="4"/>
      <c r="I24" s="6"/>
    </row>
  </sheetData>
  <mergeCells count="1">
    <mergeCell ref="A3:C3"/>
  </mergeCells>
  <pageMargins left="0.70866141732283472" right="0.70866141732283472" top="0.74803149606299213" bottom="0.74803149606299213" header="0.31496062992125984" footer="0.31496062992125984"/>
  <pageSetup paperSize="9" scale="69" orientation="portrait" r:id="rId1"/>
  <headerFooter>
    <oddFooter>&amp;R&amp;P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E0AC894F3D1BE4FBAC5E88A8DBE2B88" ma:contentTypeVersion="18" ma:contentTypeDescription="Creare un nuovo documento." ma:contentTypeScope="" ma:versionID="4b7304009bb1a9c8bdff6576aa91ccb3">
  <xsd:schema xmlns:xsd="http://www.w3.org/2001/XMLSchema" xmlns:xs="http://www.w3.org/2001/XMLSchema" xmlns:p="http://schemas.microsoft.com/office/2006/metadata/properties" xmlns:ns2="74ca28e7-1ce2-4b92-aca3-fd2ab7a64163" xmlns:ns3="40da179c-649b-4fdc-8a29-59ddd22308e5" targetNamespace="http://schemas.microsoft.com/office/2006/metadata/properties" ma:root="true" ma:fieldsID="42afd01d40824527d02dbf86ee4ef128" ns2:_="" ns3:_="">
    <xsd:import namespace="74ca28e7-1ce2-4b92-aca3-fd2ab7a64163"/>
    <xsd:import namespace="40da179c-649b-4fdc-8a29-59ddd22308e5"/>
    <xsd:element name="properties">
      <xsd:complexType>
        <xsd:sequence>
          <xsd:element name="documentManagement">
            <xsd:complexType>
              <xsd:all>
                <xsd:element ref="ns2:_Flow_SignoffStatus" minOccurs="0"/>
                <xsd:element ref="ns2:MediaServiceMetadata" minOccurs="0"/>
                <xsd:element ref="ns2:MediaServiceFastMetadata" minOccurs="0"/>
                <xsd:element ref="ns3:SharedWithUsers" minOccurs="0"/>
                <xsd:element ref="ns3:SharedWithDetails" minOccurs="0"/>
                <xsd:element ref="ns2:Progetto" minOccurs="0"/>
                <xsd:element ref="ns2:ProjectStatus" minOccurs="0"/>
                <xsd:element ref="ns2:lcf76f155ced4ddcb4097134ff3c332f" minOccurs="0"/>
                <xsd:element ref="ns2:MediaServiceSearchPropertie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ca28e7-1ce2-4b92-aca3-fd2ab7a64163" elementFormDefault="qualified">
    <xsd:import namespace="http://schemas.microsoft.com/office/2006/documentManagement/types"/>
    <xsd:import namespace="http://schemas.microsoft.com/office/infopath/2007/PartnerControls"/>
    <xsd:element name="_Flow_SignoffStatus" ma:index="8" nillable="true" ma:displayName="Stato consenso" ma:internalName="Stato_x0020_consenso">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Progetto" ma:index="13" nillable="true" ma:displayName="Progetto" ma:format="Dropdown" ma:internalName="Progetto">
      <xsd:simpleType>
        <xsd:restriction base="dms:Text">
          <xsd:maxLength value="255"/>
        </xsd:restriction>
      </xsd:simpleType>
    </xsd:element>
    <xsd:element name="ProjectStatus" ma:index="14" nillable="true" ma:displayName="Project Status" ma:format="Dropdown" ma:internalName="ProjectStatus">
      <xsd:simpleType>
        <xsd:restriction base="dms:Choice">
          <xsd:enumeration value="RICHIESTO"/>
          <xsd:enumeration value="IN CORSO"/>
          <xsd:enumeration value="CRITICO"/>
          <xsd:enumeration value="CONCLUSO"/>
        </xsd:restriction>
      </xsd:simpleType>
    </xsd:element>
    <xsd:element name="lcf76f155ced4ddcb4097134ff3c332f" ma:index="16" nillable="true" ma:taxonomy="true" ma:internalName="lcf76f155ced4ddcb4097134ff3c332f" ma:taxonomyFieldName="MediaServiceImageTags" ma:displayName="Tag immagine" ma:readOnly="false" ma:fieldId="{5cf76f15-5ced-4ddc-b409-7134ff3c332f}" ma:taxonomyMulti="true" ma:sspId="754b1395-61e6-4490-b7b5-ed8699b63d63" ma:termSetId="09814cd3-568e-fe90-9814-8d621ff8fb84" ma:anchorId="fba54fb3-c3e1-fe81-a776-ca4b69148c4d" ma:open="true" ma:isKeyword="false">
      <xsd:complexType>
        <xsd:sequence>
          <xsd:element ref="pc:Terms" minOccurs="0" maxOccurs="1"/>
        </xsd:sequence>
      </xsd:complex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Data" ma:index="23" nillable="true" ma:displayName="Data" ma:format="DateOnly" ma:internalName="Data">
      <xsd:simpleType>
        <xsd:restriction base="dms:DateTim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da179c-649b-4fdc-8a29-59ddd22308e5" elementFormDefault="qualified">
    <xsd:import namespace="http://schemas.microsoft.com/office/2006/documentManagement/types"/>
    <xsd:import namespace="http://schemas.microsoft.com/office/infopath/2007/PartnerControls"/>
    <xsd:element name="SharedWithUsers" ma:index="11"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a xmlns="74ca28e7-1ce2-4b92-aca3-fd2ab7a64163" xsi:nil="true"/>
    <_Flow_SignoffStatus xmlns="74ca28e7-1ce2-4b92-aca3-fd2ab7a64163" xsi:nil="true"/>
    <lcf76f155ced4ddcb4097134ff3c332f xmlns="74ca28e7-1ce2-4b92-aca3-fd2ab7a64163">
      <Terms xmlns="http://schemas.microsoft.com/office/infopath/2007/PartnerControls"/>
    </lcf76f155ced4ddcb4097134ff3c332f>
    <ProjectStatus xmlns="74ca28e7-1ce2-4b92-aca3-fd2ab7a64163" xsi:nil="true"/>
    <Progetto xmlns="74ca28e7-1ce2-4b92-aca3-fd2ab7a6416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8F0EB2-46AF-4A1B-A982-FD87606A1A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ca28e7-1ce2-4b92-aca3-fd2ab7a64163"/>
    <ds:schemaRef ds:uri="40da179c-649b-4fdc-8a29-59ddd22308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EE22F8-A865-4DA6-BF0B-62881CEBF0D2}">
  <ds:schemaRefs>
    <ds:schemaRef ds:uri="http://schemas.microsoft.com/office/2006/metadata/properties"/>
    <ds:schemaRef ds:uri="http://schemas.microsoft.com/office/infopath/2007/PartnerControls"/>
    <ds:schemaRef ds:uri="74ca28e7-1ce2-4b92-aca3-fd2ab7a64163"/>
  </ds:schemaRefs>
</ds:datastoreItem>
</file>

<file path=customXml/itemProps3.xml><?xml version="1.0" encoding="utf-8"?>
<ds:datastoreItem xmlns:ds="http://schemas.openxmlformats.org/officeDocument/2006/customXml" ds:itemID="{1CF5F42C-F4B4-4C3B-88DD-FB86CDB1D63B}">
  <ds:schemaRefs>
    <ds:schemaRef ds:uri="http://schemas.microsoft.com/sharepoint/v3/contenttype/forms"/>
  </ds:schemaRefs>
</ds:datastoreItem>
</file>

<file path=docMetadata/LabelInfo.xml><?xml version="1.0" encoding="utf-8"?>
<clbl:labelList xmlns:clbl="http://schemas.microsoft.com/office/2020/mipLabelMetadata">
  <clbl:label id="{02378f6b-f1b0-4815-a8da-8a787c8cf5d3}" enabled="1" method="Privileged" siteId="{028226e0-99ea-4fab-9d1b-daa440c9e2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4</vt:i4>
      </vt:variant>
    </vt:vector>
  </HeadingPairs>
  <TitlesOfParts>
    <vt:vector size="7" baseType="lpstr">
      <vt:lpstr>Intestazione_SIOC</vt:lpstr>
      <vt:lpstr>Tracciato_SIOC definitivo</vt:lpstr>
      <vt:lpstr>Indicazioni operative</vt:lpstr>
      <vt:lpstr>'Indicazioni operative'!Area_stampa</vt:lpstr>
      <vt:lpstr>Intestazione_SIOC!Area_stampa</vt:lpstr>
      <vt:lpstr>'Tracciato_SIOC definitivo'!Area_stampa</vt:lpstr>
      <vt:lpstr>'Tracciato_SIOC definitivo'!Titoli_stampa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Giulio Limpido</dc:creator>
  <cp:keywords/>
  <dc:description/>
  <cp:lastModifiedBy>Pastore Claudio</cp:lastModifiedBy>
  <cp:revision/>
  <dcterms:created xsi:type="dcterms:W3CDTF">2022-05-26T16:45:08Z</dcterms:created>
  <dcterms:modified xsi:type="dcterms:W3CDTF">2026-07-03T12:51:32Z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0x0101009E0AC894F3D1BE4FBAC5E88A8DBE2B88</vt:lpwstr>
  </property>
  <property fmtid="{D5CDD505-2E9C-101B-9397-08002B2CF9AE}" pid="3" name="Order">
    <vt:r8>42500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